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igspacey/Downloads/files/clinic-booking/memo/"/>
    </mc:Choice>
  </mc:AlternateContent>
  <xr:revisionPtr revIDLastSave="0" documentId="13_ncr:1_{0B19CB80-A3D1-044D-A91B-895DAD6437E3}" xr6:coauthVersionLast="47" xr6:coauthVersionMax="47" xr10:uidLastSave="{00000000-0000-0000-0000-000000000000}"/>
  <bookViews>
    <workbookView xWindow="0" yWindow="600" windowWidth="28800" windowHeight="17400" activeTab="3" xr2:uid="{00000000-000D-0000-FFFF-FFFF00000000}"/>
  </bookViews>
  <sheets>
    <sheet name="Overview" sheetId="1" r:id="rId1"/>
    <sheet name="Checklist" sheetId="2" r:id="rId2"/>
    <sheet name="Cost Inputs" sheetId="3" r:id="rId3"/>
    <sheet name="Tier Pricing" sheetId="4" r:id="rId4"/>
    <sheet name="Projection" sheetId="5" r:id="rId5"/>
    <sheet name="Profit Spli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6" l="1"/>
  <c r="C9" i="6"/>
  <c r="C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I7" i="5"/>
  <c r="E7" i="5"/>
  <c r="D7" i="5"/>
  <c r="D22" i="4"/>
  <c r="D20" i="4"/>
  <c r="E12" i="4"/>
  <c r="E23" i="4" s="1"/>
  <c r="D11" i="4"/>
  <c r="E10" i="4"/>
  <c r="E9" i="4"/>
  <c r="E8" i="4"/>
  <c r="E7" i="4"/>
  <c r="C40" i="3"/>
  <c r="C13" i="3"/>
  <c r="H7" i="5" s="1"/>
  <c r="F7" i="5" l="1"/>
  <c r="G7" i="5"/>
  <c r="E43" i="5"/>
  <c r="H8" i="5"/>
  <c r="J7" i="5"/>
  <c r="D8" i="5"/>
  <c r="K7" i="5" l="1"/>
  <c r="F8" i="5"/>
  <c r="G8" i="5" s="1"/>
  <c r="D9" i="5"/>
  <c r="I8" i="5"/>
  <c r="D10" i="5" l="1"/>
  <c r="I9" i="5"/>
  <c r="F9" i="5"/>
  <c r="H9" i="5"/>
  <c r="L7" i="5"/>
  <c r="J8" i="5"/>
  <c r="K8" i="5" s="1"/>
  <c r="J9" i="5" l="1"/>
  <c r="G9" i="5"/>
  <c r="L8" i="5"/>
  <c r="H10" i="5"/>
  <c r="I10" i="5"/>
  <c r="D11" i="5"/>
  <c r="F10" i="5"/>
  <c r="G10" i="5" s="1"/>
  <c r="K9" i="5" l="1"/>
  <c r="L9" i="5" s="1"/>
  <c r="I11" i="5"/>
  <c r="F11" i="5"/>
  <c r="D12" i="5"/>
  <c r="H11" i="5"/>
  <c r="J10" i="5"/>
  <c r="K10" i="5" s="1"/>
  <c r="G11" i="5" l="1"/>
  <c r="J11" i="5"/>
  <c r="I12" i="5"/>
  <c r="F12" i="5"/>
  <c r="G12" i="5" s="1"/>
  <c r="D13" i="5"/>
  <c r="H12" i="5"/>
  <c r="J12" i="5" s="1"/>
  <c r="L10" i="5"/>
  <c r="I13" i="5" l="1"/>
  <c r="F13" i="5"/>
  <c r="G13" i="5" s="1"/>
  <c r="D14" i="5"/>
  <c r="H13" i="5"/>
  <c r="J13" i="5" s="1"/>
  <c r="K12" i="5"/>
  <c r="K11" i="5"/>
  <c r="L11" i="5" s="1"/>
  <c r="L12" i="5" s="1"/>
  <c r="I14" i="5" l="1"/>
  <c r="F14" i="5"/>
  <c r="G14" i="5" s="1"/>
  <c r="D15" i="5"/>
  <c r="H14" i="5"/>
  <c r="J14" i="5" s="1"/>
  <c r="K13" i="5"/>
  <c r="L13" i="5" s="1"/>
  <c r="K14" i="5" l="1"/>
  <c r="F15" i="5"/>
  <c r="G15" i="5" s="1"/>
  <c r="D16" i="5"/>
  <c r="I15" i="5"/>
  <c r="H15" i="5"/>
  <c r="J15" i="5" s="1"/>
  <c r="F16" i="5" l="1"/>
  <c r="G16" i="5" s="1"/>
  <c r="D17" i="5"/>
  <c r="I16" i="5"/>
  <c r="H16" i="5"/>
  <c r="J16" i="5" s="1"/>
  <c r="K15" i="5"/>
  <c r="L14" i="5"/>
  <c r="L15" i="5" l="1"/>
  <c r="D18" i="5"/>
  <c r="I17" i="5"/>
  <c r="F17" i="5"/>
  <c r="G17" i="5" s="1"/>
  <c r="H17" i="5"/>
  <c r="J17" i="5" s="1"/>
  <c r="K16" i="5"/>
  <c r="K17" i="5" l="1"/>
  <c r="I18" i="5"/>
  <c r="H18" i="5"/>
  <c r="J18" i="5" s="1"/>
  <c r="F18" i="5"/>
  <c r="G18" i="5" s="1"/>
  <c r="D19" i="5"/>
  <c r="L16" i="5"/>
  <c r="L17" i="5" l="1"/>
  <c r="I19" i="5"/>
  <c r="F19" i="5"/>
  <c r="G19" i="5" s="1"/>
  <c r="D20" i="5"/>
  <c r="H19" i="5"/>
  <c r="J19" i="5" s="1"/>
  <c r="K18" i="5"/>
  <c r="C13" i="6" s="1"/>
  <c r="E13" i="6" l="1"/>
  <c r="D13" i="6"/>
  <c r="I20" i="5"/>
  <c r="F20" i="5"/>
  <c r="G20" i="5" s="1"/>
  <c r="D21" i="5"/>
  <c r="H20" i="5"/>
  <c r="J20" i="5" s="1"/>
  <c r="K19" i="5"/>
  <c r="L18" i="5"/>
  <c r="L19" i="5" s="1"/>
  <c r="I21" i="5" l="1"/>
  <c r="F21" i="5"/>
  <c r="G21" i="5" s="1"/>
  <c r="D22" i="5"/>
  <c r="H21" i="5"/>
  <c r="J21" i="5" s="1"/>
  <c r="K20" i="5"/>
  <c r="L20" i="5" s="1"/>
  <c r="K21" i="5" l="1"/>
  <c r="L21" i="5" s="1"/>
  <c r="F22" i="5"/>
  <c r="G22" i="5" s="1"/>
  <c r="D23" i="5"/>
  <c r="I22" i="5"/>
  <c r="H22" i="5"/>
  <c r="J22" i="5" s="1"/>
  <c r="F23" i="5" l="1"/>
  <c r="G23" i="5" s="1"/>
  <c r="D24" i="5"/>
  <c r="H23" i="5"/>
  <c r="J23" i="5" s="1"/>
  <c r="I23" i="5"/>
  <c r="K22" i="5"/>
  <c r="F24" i="5" l="1"/>
  <c r="G24" i="5" s="1"/>
  <c r="D25" i="5"/>
  <c r="I24" i="5"/>
  <c r="H24" i="5"/>
  <c r="J24" i="5" s="1"/>
  <c r="K23" i="5"/>
  <c r="L22" i="5"/>
  <c r="L23" i="5" s="1"/>
  <c r="K24" i="5" l="1"/>
  <c r="L24" i="5"/>
  <c r="D26" i="5"/>
  <c r="I25" i="5"/>
  <c r="F25" i="5"/>
  <c r="G25" i="5" s="1"/>
  <c r="H25" i="5"/>
  <c r="J25" i="5" s="1"/>
  <c r="K25" i="5" l="1"/>
  <c r="I26" i="5"/>
  <c r="H26" i="5"/>
  <c r="J26" i="5" s="1"/>
  <c r="D27" i="5"/>
  <c r="F26" i="5"/>
  <c r="G26" i="5" s="1"/>
  <c r="L25" i="5"/>
  <c r="K26" i="5" l="1"/>
  <c r="L26" i="5" s="1"/>
  <c r="I27" i="5"/>
  <c r="F27" i="5"/>
  <c r="G27" i="5" s="1"/>
  <c r="D28" i="5"/>
  <c r="H27" i="5"/>
  <c r="J27" i="5" s="1"/>
  <c r="I28" i="5" l="1"/>
  <c r="F28" i="5"/>
  <c r="G28" i="5" s="1"/>
  <c r="D29" i="5"/>
  <c r="H28" i="5"/>
  <c r="J28" i="5" s="1"/>
  <c r="K27" i="5"/>
  <c r="L27" i="5" s="1"/>
  <c r="I29" i="5" l="1"/>
  <c r="F29" i="5"/>
  <c r="G29" i="5" s="1"/>
  <c r="D30" i="5"/>
  <c r="H29" i="5"/>
  <c r="J29" i="5" s="1"/>
  <c r="K28" i="5"/>
  <c r="L28" i="5" s="1"/>
  <c r="F30" i="5" l="1"/>
  <c r="G30" i="5" s="1"/>
  <c r="D31" i="5"/>
  <c r="I30" i="5"/>
  <c r="H30" i="5"/>
  <c r="J30" i="5" s="1"/>
  <c r="K29" i="5"/>
  <c r="L29" i="5" s="1"/>
  <c r="F31" i="5" l="1"/>
  <c r="G31" i="5" s="1"/>
  <c r="D32" i="5"/>
  <c r="I31" i="5"/>
  <c r="H31" i="5"/>
  <c r="J31" i="5" s="1"/>
  <c r="K30" i="5"/>
  <c r="C14" i="6" s="1"/>
  <c r="E14" i="6" l="1"/>
  <c r="D14" i="6"/>
  <c r="F32" i="5"/>
  <c r="G32" i="5" s="1"/>
  <c r="D33" i="5"/>
  <c r="I32" i="5"/>
  <c r="H32" i="5"/>
  <c r="J32" i="5" s="1"/>
  <c r="K31" i="5"/>
  <c r="L30" i="5"/>
  <c r="L31" i="5" s="1"/>
  <c r="D34" i="5" l="1"/>
  <c r="I33" i="5"/>
  <c r="F33" i="5"/>
  <c r="G33" i="5" s="1"/>
  <c r="H33" i="5"/>
  <c r="J33" i="5" s="1"/>
  <c r="K32" i="5"/>
  <c r="L32" i="5" l="1"/>
  <c r="K33" i="5"/>
  <c r="I34" i="5"/>
  <c r="D35" i="5"/>
  <c r="F34" i="5"/>
  <c r="G34" i="5" s="1"/>
  <c r="H34" i="5"/>
  <c r="J34" i="5" s="1"/>
  <c r="I35" i="5" l="1"/>
  <c r="F35" i="5"/>
  <c r="G35" i="5" s="1"/>
  <c r="D36" i="5"/>
  <c r="H35" i="5"/>
  <c r="J35" i="5" s="1"/>
  <c r="K34" i="5"/>
  <c r="L33" i="5"/>
  <c r="L34" i="5" s="1"/>
  <c r="K35" i="5" l="1"/>
  <c r="L35" i="5" s="1"/>
  <c r="I36" i="5"/>
  <c r="F36" i="5"/>
  <c r="G36" i="5" s="1"/>
  <c r="D37" i="5"/>
  <c r="H36" i="5"/>
  <c r="J36" i="5" s="1"/>
  <c r="I37" i="5" l="1"/>
  <c r="F37" i="5"/>
  <c r="G37" i="5" s="1"/>
  <c r="D38" i="5"/>
  <c r="H37" i="5"/>
  <c r="J37" i="5" s="1"/>
  <c r="K36" i="5"/>
  <c r="L36" i="5" s="1"/>
  <c r="F38" i="5" l="1"/>
  <c r="G38" i="5" s="1"/>
  <c r="D39" i="5"/>
  <c r="I38" i="5"/>
  <c r="H38" i="5"/>
  <c r="J38" i="5" s="1"/>
  <c r="K37" i="5"/>
  <c r="L37" i="5" s="1"/>
  <c r="F39" i="5" l="1"/>
  <c r="G39" i="5" s="1"/>
  <c r="D40" i="5"/>
  <c r="H39" i="5"/>
  <c r="J39" i="5" s="1"/>
  <c r="I39" i="5"/>
  <c r="K38" i="5"/>
  <c r="L38" i="5" s="1"/>
  <c r="F40" i="5" l="1"/>
  <c r="G40" i="5" s="1"/>
  <c r="D41" i="5"/>
  <c r="I40" i="5"/>
  <c r="H40" i="5"/>
  <c r="J40" i="5" s="1"/>
  <c r="K39" i="5"/>
  <c r="L39" i="5" s="1"/>
  <c r="D42" i="5" l="1"/>
  <c r="I41" i="5"/>
  <c r="F41" i="5"/>
  <c r="G41" i="5" s="1"/>
  <c r="H41" i="5"/>
  <c r="J41" i="5" s="1"/>
  <c r="K40" i="5"/>
  <c r="L40" i="5" s="1"/>
  <c r="K41" i="5" l="1"/>
  <c r="L41" i="5" s="1"/>
  <c r="I42" i="5"/>
  <c r="I43" i="5" s="1"/>
  <c r="F42" i="5"/>
  <c r="H42" i="5"/>
  <c r="J42" i="5" l="1"/>
  <c r="J43" i="5" s="1"/>
  <c r="H43" i="5"/>
  <c r="G42" i="5"/>
  <c r="F43" i="5"/>
  <c r="K42" i="5" l="1"/>
  <c r="G43" i="5"/>
  <c r="K43" i="5" l="1"/>
  <c r="C16" i="6"/>
  <c r="C15" i="6"/>
  <c r="L42" i="5"/>
  <c r="L43" i="5" s="1"/>
  <c r="C20" i="6" s="1"/>
  <c r="E15" i="6" l="1"/>
  <c r="D15" i="6"/>
  <c r="E16" i="6"/>
  <c r="D16" i="6"/>
</calcChain>
</file>

<file path=xl/sharedStrings.xml><?xml version="1.0" encoding="utf-8"?>
<sst xmlns="http://schemas.openxmlformats.org/spreadsheetml/2006/main" count="438" uniqueCount="328">
  <si>
    <t>Partner Discussion Worksheet</t>
  </si>
  <si>
    <t>Goodcare Dental Booking Platform — May 2026</t>
  </si>
  <si>
    <t>Welcome</t>
  </si>
  <si>
    <t>This workbook is for you and your business partner to walk through together. It contains everything we still need to decide before going live with paying customers, plus a fully editable financial model. Yellow-highlighted cells are editable inputs — change them and the projections update everywhere.</t>
  </si>
  <si>
    <t>Sheets in this workbook</t>
  </si>
  <si>
    <t>1. Overview</t>
  </si>
  <si>
    <t>This page. Instructions and table of contents.</t>
  </si>
  <si>
    <t>2. Checklist</t>
  </si>
  <si>
    <t>Every topic you need to settle with your partner — business formation, roles, equity, legal, ops. ~60 items.</t>
  </si>
  <si>
    <t>3. Cost Inputs</t>
  </si>
  <si>
    <t>All cost line items as editable cells. Software subscriptions, device costs, scaling tools.</t>
  </si>
  <si>
    <t>4. Tier Pricing</t>
  </si>
  <si>
    <t>Tier prices, mix percentages, weighted-average revenue per clinic. Editable.</t>
  </si>
  <si>
    <t>5. Projection</t>
  </si>
  <si>
    <t>36-month financial model. Plug in clinic acquisitions per month → see revenue, costs, profit, cash balance.</t>
  </si>
  <si>
    <t>6. Profit Split</t>
  </si>
  <si>
    <t>Partner share scenarios driven by the projection. Adjust splits to model take-home per partner.</t>
  </si>
  <si>
    <t>How to use this workbook</t>
  </si>
  <si>
    <t>1. Read through the Checklist together; tick what you've already agreed.</t>
  </si>
  <si>
    <t>2. On Cost Inputs, adjust any cost line that doesn't match your current contracts.</t>
  </si>
  <si>
    <t>3. On Tier Pricing, agree on tier prices and the expected customer mix.</t>
  </si>
  <si>
    <t>4. On Projection, plug in realistic new-clinic counts per month for the next 12-36 months.</t>
  </si>
  <si>
    <t>5. On Profit Split, adjust each partner's share to model take-home.</t>
  </si>
  <si>
    <t>6. Re-read Checklist and circle items that block go-live.</t>
  </si>
  <si>
    <t>Yellow cells = editable inputs</t>
  </si>
  <si>
    <t>Throughout this workbook, any cell with a warm yellow background is an editable input. Change those — formulas everywhere else recalculate automatically. White cells are calculated; do not type into them.</t>
  </si>
  <si>
    <t>Checklist — what you and your partner must settle</t>
  </si>
  <si>
    <t>Tick (insert ✓ in column B) as you agree on each item. Use column D for notes, decisions, or who's responsible. Everything here should be settled before signing your first paid contract.</t>
  </si>
  <si>
    <t>A · Business formation</t>
  </si>
  <si>
    <t>✓</t>
  </si>
  <si>
    <t>Item</t>
  </si>
  <si>
    <t>Notes / Owner / Decision</t>
  </si>
  <si>
    <t>☐</t>
  </si>
  <si>
    <t>Entity type — Sole Prop, Partnership, LLP, or Sdn Bhd?</t>
  </si>
  <si>
    <t>Sdn Bhd recommended for liability separation and tax flexibility</t>
  </si>
  <si>
    <t>SSM business registration</t>
  </si>
  <si>
    <t>RM 1,500 once. Required before invoicing.</t>
  </si>
  <si>
    <t>Business name reservation</t>
  </si>
  <si>
    <t>Brand name + .com.my domain availability check</t>
  </si>
  <si>
    <t>Memorandum and Articles of Association</t>
  </si>
  <si>
    <t>For Sdn Bhd. Engage company secretary.</t>
  </si>
  <si>
    <t>Shareholders agreement (separate from M&amp;A)</t>
  </si>
  <si>
    <t>Covers what M&amp;A doesn't — vesting, drag-along, etc.</t>
  </si>
  <si>
    <t>Company secretary appointment</t>
  </si>
  <si>
    <t>RM ~1,200/year. Required for Sdn Bhd.</t>
  </si>
  <si>
    <t>Company bank account (joint or single signatory?)</t>
  </si>
  <si>
    <t>CIMB, Maybank, Public Bank all offer SME accounts</t>
  </si>
  <si>
    <t>Initial capital injection — how much, from whom?</t>
  </si>
  <si>
    <t>Recommend RM 10,000–20,000 starting capital</t>
  </si>
  <si>
    <t>Capital structure — ordinary vs preference shares</t>
  </si>
  <si>
    <t>Default: all ordinary for 2-person founder team</t>
  </si>
  <si>
    <t>Tax filing arrangement (LHDN)</t>
  </si>
  <si>
    <t>Engage an accountant; ~RM 200–500/month</t>
  </si>
  <si>
    <t>B · Roles &amp; responsibilities</t>
  </si>
  <si>
    <t>Who handles product and engineering?</t>
  </si>
  <si>
    <t>Currently you. Will it stay that way at clinic #20?</t>
  </si>
  <si>
    <t>Who handles sales and customer pitching?</t>
  </si>
  <si>
    <t>Field-time intensive. Decide who fields the calls.</t>
  </si>
  <si>
    <t>Who handles customer support and onboarding?</t>
  </si>
  <si>
    <t>Initially shared; will need ownership at clinic #10</t>
  </si>
  <si>
    <t>Who handles operations (devices, deliveries, training)?</t>
  </si>
  <si>
    <t>Especially relevant given hardware bundle</t>
  </si>
  <si>
    <t>Who handles legal, compliance, and finance?</t>
  </si>
  <si>
    <t>DPA, ToS, PDPA, insurance renewals, LHDN</t>
  </si>
  <si>
    <t>Time commitment per partner (full-time vs part-time)?</t>
  </si>
  <si>
    <t>Affects equity logic</t>
  </si>
  <si>
    <t>Salary payable, or pure equity until profitable?</t>
  </si>
  <si>
    <t>Most founders go pure equity until profit allows draws</t>
  </si>
  <si>
    <t>Decision-making process — who has final say on what?</t>
  </si>
  <si>
    <t>Product, pricing, hiring, big spends each need an owner</t>
  </si>
  <si>
    <t>Weekly working rhythm (sync calls, shared dashboards)?</t>
  </si>
  <si>
    <t>Suggest weekly 1-hour partner sync</t>
  </si>
  <si>
    <t>C · Equity &amp; profit sharing</t>
  </si>
  <si>
    <t>Equity split percentage between partners</t>
  </si>
  <si>
    <t>50/50 is simplest. Skewed splits should be justified by contribution.</t>
  </si>
  <si>
    <t>Vesting schedule (cliff + linear)?</t>
  </si>
  <si>
    <t>Standard: 1-year cliff, 4-year vest. Protects against early exit.</t>
  </si>
  <si>
    <t>Dilution policy if future investors / employees join</t>
  </si>
  <si>
    <t>ESOP pool typically 10–15%</t>
  </si>
  <si>
    <t>Voting rights (per-share, or special control?)</t>
  </si>
  <si>
    <t>1 share = 1 vote standard</t>
  </si>
  <si>
    <t>Drag-along and tag-along rights</t>
  </si>
  <si>
    <t>Useful if either party may want to sell stake</t>
  </si>
  <si>
    <t>Profit distribution frequency (monthly, quarterly, annual)?</t>
  </si>
  <si>
    <t>Monthly works for small founder team; quarterly for tax</t>
  </si>
  <si>
    <t>Profit distribution policy (% retained vs paid out)?</t>
  </si>
  <si>
    <t>Recommend retain 30–50% for growth</t>
  </si>
  <si>
    <t>Reserve fund policy (months of runway to keep on hand)</t>
  </si>
  <si>
    <t>6 months of fixed costs minimum</t>
  </si>
  <si>
    <t>Buyout / shotgun clause if partnership fails</t>
  </si>
  <si>
    <t>Pre-agree the formula</t>
  </si>
  <si>
    <t>Death / disability provisions</t>
  </si>
  <si>
    <t>Insurance policy or company-paid buyout</t>
  </si>
  <si>
    <t>D · Pricing &amp; product strategy</t>
  </si>
  <si>
    <t>Final pricing tiers — Basic / Standard / Pro / Franchise?</t>
  </si>
  <si>
    <t>See Tier Pricing sheet for current numbers</t>
  </si>
  <si>
    <t>Setup fee level (RM 1,500 / RM 2,500 / variable)?</t>
  </si>
  <si>
    <t>Modular: RM 1,500. Bundled: RM 2,500–3,500.</t>
  </si>
  <si>
    <t>Hardware bundle policy — required, optional, or no?</t>
  </si>
  <si>
    <t>Recommend: optional (offer all 4 pricing options)</t>
  </si>
  <si>
    <t>Discount / friend rate policy</t>
  </si>
  <si>
    <t>Document who gets discounts and by how much</t>
  </si>
  <si>
    <t>Free trial duration (30 / 60 / 90 days)?</t>
  </si>
  <si>
    <t>60-day money-back guarantee on setup recommended</t>
  </si>
  <si>
    <t>Feature roadmap priorities for next 6 months</t>
  </si>
  <si>
    <t>See strategic memo: compliance, recall, commission</t>
  </si>
  <si>
    <t>Multi-tenant refactor trigger point</t>
  </si>
  <si>
    <t>Recommend: at clinic #4</t>
  </si>
  <si>
    <t>Domain handling — subdomain by default or custom?</t>
  </si>
  <si>
    <t>Subdomain default; custom for RM 100 one-off</t>
  </si>
  <si>
    <t>E · Operations</t>
  </si>
  <si>
    <t>Customer support hours (e.g. Mon–Fri 9–6)</t>
  </si>
  <si>
    <t>Define SLA expectations</t>
  </si>
  <si>
    <t>Response time SLA (e.g. 24h email, 4h critical)?</t>
  </si>
  <si>
    <t>Set realistic numbers</t>
  </si>
  <si>
    <t>Onboarding process (steps + who does what)</t>
  </si>
  <si>
    <t>Should be documented as a runbook</t>
  </si>
  <si>
    <t>Device sourcing arrangement with partner</t>
  </si>
  <si>
    <t>Volume discount? Quarterly orders? Buffer stock?</t>
  </si>
  <si>
    <t>Damage / replacement policy for devices</t>
  </si>
  <si>
    <t>Excess paid by customer; reserve covers rest</t>
  </si>
  <si>
    <t>Backup and disaster recovery procedures</t>
  </si>
  <si>
    <t>Supabase PITR + monthly CSV exports off-site</t>
  </si>
  <si>
    <t>Hosting decisions — region, redundancy</t>
  </si>
  <si>
    <t>Supabase Singapore region; defensible under PDPA</t>
  </si>
  <si>
    <t>Customer data export commitment (right to portability)</t>
  </si>
  <si>
    <t>CSV export self-serve or staff-assisted?</t>
  </si>
  <si>
    <t>F · Legal &amp; compliance</t>
  </si>
  <si>
    <t>Data Processing Agreement (DPA) template</t>
  </si>
  <si>
    <t>Engage MY lawyer; RM 2,000–3,000 one-off</t>
  </si>
  <si>
    <t>Terms of Service drafted</t>
  </si>
  <si>
    <t>Often paired with DPA work</t>
  </si>
  <si>
    <t>Privacy Policy</t>
  </si>
  <si>
    <t>PDPA-compliant; required on /book page footer</t>
  </si>
  <si>
    <t>PDPA consent register implementation</t>
  </si>
  <si>
    <t>Audit trail for marketing communications</t>
  </si>
  <si>
    <t>Professional indemnity insurance</t>
  </si>
  <si>
    <t>RM 1,500–3,000/year — required for healthcare-adjacent software</t>
  </si>
  <si>
    <t>IP ownership clause — who owns the code?</t>
  </si>
  <si>
    <t>Recommend: company owns; founders licence indefinitely</t>
  </si>
  <si>
    <t>Non-compete / non-solicit between partners</t>
  </si>
  <si>
    <t>Standard 1–2 year clause</t>
  </si>
  <si>
    <t>Customer contract templates ready</t>
  </si>
  <si>
    <t>Service agreement per tier; subscription terms</t>
  </si>
  <si>
    <t>Data breach response plan</t>
  </si>
  <si>
    <t>Required under PDPA</t>
  </si>
  <si>
    <t>G · Sales &amp; marketing</t>
  </si>
  <si>
    <t>Target customer segment (size, geography)</t>
  </si>
  <si>
    <t>Recommend: 1–5 doctor MY dental clinics, year 1</t>
  </si>
  <si>
    <t>Lead generation channels</t>
  </si>
  <si>
    <t>Referral, FB ads, direct outreach, dental association events</t>
  </si>
  <si>
    <t>Sales process (intro → demo → trial → close)</t>
  </si>
  <si>
    <t>Document and refine</t>
  </si>
  <si>
    <t>Pricing presentation — who shows it?</t>
  </si>
  <si>
    <t>Sales partner handles pricing; tech partner sits in for trust</t>
  </si>
  <si>
    <t>Marketing budget per month</t>
  </si>
  <si>
    <t>Suggest RM 500 starting; scale to RM 2,000 at clinic #20</t>
  </si>
  <si>
    <t>Brand assets — logo, slide template, email signatures</t>
  </si>
  <si>
    <t>Centralise in a shared Drive folder</t>
  </si>
  <si>
    <t>Case studies and testimonials process</t>
  </si>
  <si>
    <t>Ask the friend clinic for one at month 6</t>
  </si>
  <si>
    <t>Referral / partner rewards</t>
  </si>
  <si>
    <t>Existing clinic refers a new one = 1 month free?</t>
  </si>
  <si>
    <t>H · Risk &amp; exit</t>
  </si>
  <si>
    <t>Maximum subsidy budget (RM bleed before pulling back)</t>
  </si>
  <si>
    <t>Recommend cap at RM 8,000–15,000</t>
  </si>
  <si>
    <t>Pivot / sunset criteria (clinic count by month X)</t>
  </si>
  <si>
    <t>If &lt;5 clinics by month 9, reassess approach</t>
  </si>
  <si>
    <t>Insurance coverage (PI, public liability, cyber)</t>
  </si>
  <si>
    <t>Underwriters: AIG, Allianz, MSIG</t>
  </si>
  <si>
    <t>Acquisition / sale process if approached</t>
  </si>
  <si>
    <t>Both partners must consent</t>
  </si>
  <si>
    <t>Dispute resolution mechanism</t>
  </si>
  <si>
    <t>Default to mediation, then arbitration</t>
  </si>
  <si>
    <t>Non-compete period after exit</t>
  </si>
  <si>
    <t>12–24 months in MY dental sector</t>
  </si>
  <si>
    <t>Wind-down procedure (data, refunds, communications)</t>
  </si>
  <si>
    <t>60-day customer notice; full data export; refund unused months</t>
  </si>
  <si>
    <t>Cost Inputs — edit yellow cells</t>
  </si>
  <si>
    <t>These are the costs WE pay. Yellow cells are editable. Other sheets pull from these — change a number here and the projection updates everywhere.</t>
  </si>
  <si>
    <t>A · Core fixed costs (paid once live)</t>
  </si>
  <si>
    <t>RM / month</t>
  </si>
  <si>
    <t>Notes</t>
  </si>
  <si>
    <t>Claude Code subscription</t>
  </si>
  <si>
    <t>Developer tooling. Required for maintenance + new features.</t>
  </si>
  <si>
    <t>Vercel Pro (team plan)</t>
  </si>
  <si>
    <t>Required for commercial use. Hosts all clinic instances.</t>
  </si>
  <si>
    <t>Supabase Pro (1st project)</t>
  </si>
  <si>
    <t>Database + auth. PITR backups, 30-day retention.</t>
  </si>
  <si>
    <t>Domain (.com, amortised RM 50/year)</t>
  </si>
  <si>
    <t>Primary domain for subdomains</t>
  </si>
  <si>
    <t>Google Workspace (business email)</t>
  </si>
  <si>
    <t>name@yourbrand.com for credibility</t>
  </si>
  <si>
    <t>Legal &amp; insurance amortised (one-time RM 5k + RM 1.5–3k/yr)</t>
  </si>
  <si>
    <t>Includes DPA + ToS + PI insurance</t>
  </si>
  <si>
    <t>Fixed monthly subtotal</t>
  </si>
  <si>
    <t>Sum of A. Once a paying clinic goes live, this is your minimum.</t>
  </si>
  <si>
    <t>B · Scaling tools (added at clinic-count milestones)</t>
  </si>
  <si>
    <t>When to add</t>
  </si>
  <si>
    <t>Sentry (error tracking)</t>
  </si>
  <si>
    <t>Add when clinic count &gt;= 10</t>
  </si>
  <si>
    <t>Customer support tool (Freshdesk / Intercom)</t>
  </si>
  <si>
    <t>Add when clinic count &gt;= 20</t>
  </si>
  <si>
    <t>Product analytics (PostHog / Mixpanel)</t>
  </si>
  <si>
    <t>Add when clinic count &gt;= 30</t>
  </si>
  <si>
    <t>Freelance dev support (~10 hrs/month)</t>
  </si>
  <si>
    <t>Email service (Resend / SendGrid)</t>
  </si>
  <si>
    <t>Add when email reminders launch</t>
  </si>
  <si>
    <t>Marketing budget (Google Ads, FB Ads)</t>
  </si>
  <si>
    <t>Add when actively scaling</t>
  </si>
  <si>
    <t>C · Per-clinic variable costs</t>
  </si>
  <si>
    <t>RM / clinic / mo</t>
  </si>
  <si>
    <t>Supabase per clinic (single-tenant, before refactor)</t>
  </si>
  <si>
    <t>Each clinic owns its own Supabase project. Multiplied by clinic count BELOW refactor threshold.</t>
  </si>
  <si>
    <t>Supabase incremental per clinic (multi-tenant, after refactor)</t>
  </si>
  <si>
    <t>Shared DB. Per-clinic resource consumption.</t>
  </si>
  <si>
    <t>Multi-tenant refactor — clinic count when triggered</t>
  </si>
  <si>
    <t>At this clinic count, switch from single-tenant per-clinic Supabase cost to multi-tenant incremental.</t>
  </si>
  <si>
    <t>D · Hardware (optional bundle)</t>
  </si>
  <si>
    <t>RM</t>
  </si>
  <si>
    <t>Basic device (Android tablet) — total cost incl. accessories</t>
  </si>
  <si>
    <t>Lenovo Tab M10 or similar</t>
  </si>
  <si>
    <t>Standard device (iPad 10.9") — total cost incl. accessories</t>
  </si>
  <si>
    <t>Recommended default</t>
  </si>
  <si>
    <t>Premium device (iPad Pro 11") — total cost incl. accessories</t>
  </si>
  <si>
    <t>For Pro / Franchise upsell</t>
  </si>
  <si>
    <t>Device contract length (months)</t>
  </si>
  <si>
    <t>Standard 3-year hardware lease</t>
  </si>
  <si>
    <t>Device insurance (RM / month / device)</t>
  </si>
  <si>
    <t>Damage, theft, accidental drops</t>
  </si>
  <si>
    <t>Replacement reserve (RM / month / device)</t>
  </si>
  <si>
    <t>~8% of device cost annually</t>
  </si>
  <si>
    <t>Delivery + setup logistics (RM / month / device amortised)</t>
  </si>
  <si>
    <t>First-year delivery + on-site install</t>
  </si>
  <si>
    <t>Standard device — effective monthly cost (amortised + insurance + reserve)</t>
  </si>
  <si>
    <t>Used in Projection for hardware-bundled scenarios.</t>
  </si>
  <si>
    <t>E · Setup fees and one-offs</t>
  </si>
  <si>
    <t>Setup fee — software-only / modular</t>
  </si>
  <si>
    <t>Training + onboarding + customisation (no device)</t>
  </si>
  <si>
    <t>Setup fee — bundled with device</t>
  </si>
  <si>
    <t>Setup + device delivery + on-site install</t>
  </si>
  <si>
    <t>Tier Pricing — edit yellow cells</t>
  </si>
  <si>
    <t>Set the price per tier and the expected mix of customers. Weighted-average revenue per clinic is calculated below and feeds the projection.</t>
  </si>
  <si>
    <t>A · Software tiers (monthly price)</t>
  </si>
  <si>
    <t>Tier</t>
  </si>
  <si>
    <t>Monthly (RM)</t>
  </si>
  <si>
    <t>Mix %</t>
  </si>
  <si>
    <t>Weighted RM</t>
  </si>
  <si>
    <t>Basic</t>
  </si>
  <si>
    <t>DoctorPartner sidekick — booking, WhatsApp, attendance, mobile.</t>
  </si>
  <si>
    <t>Standard</t>
  </si>
  <si>
    <t>Adds duty cal, leave/shift requests, audit, working hours, branding.</t>
  </si>
  <si>
    <t>Pro</t>
  </si>
  <si>
    <t>Adds revenue analytics, light payroll, locum, certifications expiry.</t>
  </si>
  <si>
    <t>Franchise</t>
  </si>
  <si>
    <t>Per-branch pricing. Cross-branch dashboard, royalty tracking, transfers.</t>
  </si>
  <si>
    <t>Mix total</t>
  </si>
  <si>
    <t>Should equal 100%. If not, the projection will normalise.</t>
  </si>
  <si>
    <t>Weighted avg software revenue per clinic (RM / month)</t>
  </si>
  <si>
    <t>B · Customer mix across pricing options</t>
  </si>
  <si>
    <t>Option</t>
  </si>
  <si>
    <t>Description</t>
  </si>
  <si>
    <t>% of clinics</t>
  </si>
  <si>
    <t>Per clinic adj (RM/mo)</t>
  </si>
  <si>
    <t>Option A · Bundled</t>
  </si>
  <si>
    <t>All-in monthly fee</t>
  </si>
  <si>
    <t>Premium on top of software. Includes device.</t>
  </si>
  <si>
    <t>Option C · Modular</t>
  </si>
  <si>
    <t>Software + separate hardware lease</t>
  </si>
  <si>
    <t>Hardware billed at effective monthly cost.</t>
  </si>
  <si>
    <t>Option B · Setup-loaded</t>
  </si>
  <si>
    <t>Big setup fee, lower monthly</t>
  </si>
  <si>
    <t>Same monthly as software-only; large upfront.</t>
  </si>
  <si>
    <t>Option D · Software-only</t>
  </si>
  <si>
    <t>No hardware</t>
  </si>
  <si>
    <t>Pure SaaS. No multi-year contract.</t>
  </si>
  <si>
    <t>Should equal 100%.</t>
  </si>
  <si>
    <t>Hardware-attached %</t>
  </si>
  <si>
    <t>Share of clinics that have a hardware lease.</t>
  </si>
  <si>
    <t>Weighted avg total revenue per clinic / month (RM)</t>
  </si>
  <si>
    <t>Software avg + hardware (if attached) + premium (Option A only).</t>
  </si>
  <si>
    <t>36-Month Financial Projection</t>
  </si>
  <si>
    <t>Enter your projected new clinic acquisitions in column C (yellow). Everything else calculates. Negative cumulative cash means subsidising from savings; positive means profitable cumulative.</t>
  </si>
  <si>
    <t>Month</t>
  </si>
  <si>
    <t>New clinics</t>
  </si>
  <si>
    <t>Total clinics</t>
  </si>
  <si>
    <t>Setup fees (RM)</t>
  </si>
  <si>
    <t>Subscription (RM)</t>
  </si>
  <si>
    <t>Revenue total (RM)</t>
  </si>
  <si>
    <t>Fixed cost (RM)</t>
  </si>
  <si>
    <t>Variable cost (RM)</t>
  </si>
  <si>
    <t>Cost total (RM)</t>
  </si>
  <si>
    <t>Net profit (RM)</t>
  </si>
  <si>
    <t>Cum. cash (RM)</t>
  </si>
  <si>
    <t>36-mo total</t>
  </si>
  <si>
    <t>Profit Split Scenarios</t>
  </si>
  <si>
    <t>Set each partner's percentage share. Profit from the Projection is allocated each month according to these splits. Negative profit (loss) is also shared — meaning each partner contributes that share of the subsidy.</t>
  </si>
  <si>
    <t>A · Equity split between partners</t>
  </si>
  <si>
    <t>Partner</t>
  </si>
  <si>
    <t>Equity %</t>
  </si>
  <si>
    <t>Role</t>
  </si>
  <si>
    <t>Partner A (you)</t>
  </si>
  <si>
    <t>Tech + product</t>
  </si>
  <si>
    <t>Adjust % if non-50/50 split agreed</t>
  </si>
  <si>
    <t>Partner B</t>
  </si>
  <si>
    <t>Sales + hardware + ops</t>
  </si>
  <si>
    <t>Total</t>
  </si>
  <si>
    <t>Must equal 100%.</t>
  </si>
  <si>
    <t>B · Take-home per partner (from Projection sheet)</t>
  </si>
  <si>
    <t>Period</t>
  </si>
  <si>
    <t>Year 1 (months 1–12)</t>
  </si>
  <si>
    <t>First full year of operation</t>
  </si>
  <si>
    <t>Year 2 (months 13–24)</t>
  </si>
  <si>
    <t>Year 3 (months 25–36)</t>
  </si>
  <si>
    <t>36-month total</t>
  </si>
  <si>
    <t>Total 3-year take-home per partner</t>
  </si>
  <si>
    <t>C · Subsidy budget tracking</t>
  </si>
  <si>
    <t>Subsidy cap (RM) — each partner agreed loss limit</t>
  </si>
  <si>
    <t>If cumulative cash drops below -2× this, reassess.</t>
  </si>
  <si>
    <t>Worst cumulative cash position (RM)</t>
  </si>
  <si>
    <t>The biggest hole you'll be in. Should be smaller than -2× subsidy cap.</t>
  </si>
  <si>
    <t>Worst position vs cap</t>
  </si>
  <si>
    <t>Kanan Digital Sdn Bhd</t>
  </si>
  <si>
    <t>100 usd per month</t>
  </si>
  <si>
    <t>- Patient booking system</t>
  </si>
  <si>
    <t>- Duty calendar + related features</t>
  </si>
  <si>
    <t>Premium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</si>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</sst>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-#,##0"/>
  </numFmts>
  <fonts count="13">
    <font>
      <sz val="11"/>
      <color theme="1"/>
      <name val="Calibri"/>
      <family val="2"/>
      <scheme val="minor"/>
    </font>
    <font>
      <b/>
      <sz val="22"/>
      <color rgb="FF1A1A1A"/>
      <name val="Helvetica"/>
      <family val="2"/>
    </font>
    <font>
      <i/>
      <sz val="12"/>
      <color rgb="FF78716C"/>
      <name val="Helvetica"/>
      <family val="2"/>
    </font>
    <font>
      <b/>
      <sz val="13"/>
      <color rgb="FFFFFFFF"/>
      <name val="Helvetica"/>
      <family val="2"/>
    </font>
    <font>
      <i/>
      <sz val="10"/>
      <color rgb="FF78716C"/>
      <name val="Helvetica"/>
      <family val="2"/>
    </font>
    <font>
      <b/>
      <sz val="10"/>
      <color rgb="FF1A1A1A"/>
      <name val="Helvetica"/>
      <family val="2"/>
    </font>
    <font>
      <b/>
      <sz val="11"/>
      <color rgb="FF0F766E"/>
      <name val="Helvetica"/>
      <family val="2"/>
    </font>
    <font>
      <b/>
      <sz val="10"/>
      <color rgb="FFFFFFFF"/>
      <name val="Helvetica"/>
      <family val="2"/>
    </font>
    <font>
      <sz val="12"/>
      <color rgb="FF78716C"/>
      <name val="Helvetica"/>
      <family val="2"/>
    </font>
    <font>
      <sz val="10"/>
      <color rgb="FF1A1A1A"/>
      <name val="Helvetica"/>
      <family val="2"/>
    </font>
    <font>
      <b/>
      <sz val="11"/>
      <color rgb="FF1A1A1A"/>
      <name val="Helvetica"/>
      <family val="2"/>
    </font>
    <font>
      <i/>
      <sz val="9"/>
      <color rgb="FF78716C"/>
      <name val="Helvetica"/>
      <family val="2"/>
    </font>
    <font>
      <b/>
      <sz val="10"/>
      <color rgb="FF059669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0D9488"/>
        <bgColor indexed="64"/>
      </patternFill>
    </fill>
    <fill>
      <patternFill patternType="solid">
        <fgColor rgb="FFF5F4F3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7E5E4"/>
      </left>
      <right style="thin">
        <color rgb="FFE7E5E4"/>
      </right>
      <top style="thin">
        <color rgb="FFE7E5E4"/>
      </top>
      <bottom style="thin">
        <color rgb="FFE7E5E4"/>
      </bottom>
      <diagonal/>
    </border>
    <border>
      <left style="thin">
        <color rgb="FFFB923C"/>
      </left>
      <right style="thin">
        <color rgb="FFFB923C"/>
      </right>
      <top style="thin">
        <color rgb="FFFB923C"/>
      </top>
      <bottom style="thin">
        <color rgb="FFFB923C"/>
      </bottom>
      <diagonal/>
    </border>
    <border>
      <left style="thin">
        <color rgb="FF0D9488"/>
      </left>
      <right style="thin">
        <color rgb="FF0D9488"/>
      </right>
      <top style="thin">
        <color rgb="FF0D9488"/>
      </top>
      <bottom style="thin">
        <color rgb="FF0D948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top" wrapText="1"/>
    </xf>
    <xf numFmtId="0" fontId="9" fillId="5" borderId="2" xfId="0" applyFont="1" applyFill="1" applyBorder="1" applyAlignment="1">
      <alignment vertical="top" wrapText="1"/>
    </xf>
    <xf numFmtId="3" fontId="10" fillId="6" borderId="3" xfId="0" applyNumberFormat="1" applyFont="1" applyFill="1" applyBorder="1" applyAlignment="1">
      <alignment horizontal="right"/>
    </xf>
    <xf numFmtId="3" fontId="6" fillId="3" borderId="4" xfId="0" applyNumberFormat="1" applyFont="1" applyFill="1" applyBorder="1" applyAlignment="1">
      <alignment horizontal="right"/>
    </xf>
    <xf numFmtId="1" fontId="10" fillId="6" borderId="3" xfId="0" applyNumberFormat="1" applyFont="1" applyFill="1" applyBorder="1" applyAlignment="1">
      <alignment horizontal="right"/>
    </xf>
    <xf numFmtId="164" fontId="10" fillId="6" borderId="3" xfId="0" applyNumberFormat="1" applyFont="1" applyFill="1" applyBorder="1" applyAlignment="1">
      <alignment horizontal="right"/>
    </xf>
    <xf numFmtId="3" fontId="9" fillId="7" borderId="2" xfId="0" applyNumberFormat="1" applyFont="1" applyFill="1" applyBorder="1" applyAlignment="1">
      <alignment horizontal="right"/>
    </xf>
    <xf numFmtId="0" fontId="11" fillId="0" borderId="0" xfId="0" applyFont="1" applyAlignment="1">
      <alignment vertical="top" wrapText="1"/>
    </xf>
    <xf numFmtId="165" fontId="12" fillId="7" borderId="2" xfId="0" applyNumberFormat="1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quotePrefix="1"/>
  </cellXfs>
  <cellStyles count="1">
    <cellStyle name="Normal" xfId="0" builtinId="0"/>
  </cellStyles>
  <dxfs count="2">
    <dxf>
      <font>
        <b/>
        <color rgb="FFC0392B"/>
      </font>
      <numFmt numFmtId="165" formatCode="#,##0;\-#,##0"/>
      <fill>
        <patternFill>
          <bgColor rgb="FFFFFFFF"/>
        </patternFill>
      </fill>
      <border>
        <left style="thin">
          <color rgb="FFE7E5E4"/>
        </left>
        <right style="thin">
          <color rgb="FFE7E5E4"/>
        </right>
        <top style="thin">
          <color rgb="FFE7E5E4"/>
        </top>
        <bottom style="thin">
          <color rgb="FFE7E5E4"/>
        </bottom>
        <vertical/>
        <horizontal/>
      </border>
    </dxf>
    <dxf>
      <font>
        <b/>
        <color rgb="FFC0392B"/>
      </font>
      <numFmt numFmtId="165" formatCode="#,##0;\-#,##0"/>
      <fill>
        <patternFill>
          <bgColor rgb="FFFFFFFF"/>
        </patternFill>
      </fill>
      <border>
        <left style="thin">
          <color rgb="FFE7E5E4"/>
        </left>
        <right style="thin">
          <color rgb="FFE7E5E4"/>
        </right>
        <top style="thin">
          <color rgb="FFE7E5E4"/>
        </top>
        <bottom style="thin">
          <color rgb="FFE7E5E4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9488"/>
  </sheetPr>
  <dimension ref="B2:C25"/>
  <sheetViews>
    <sheetView showGridLines="0" topLeftCell="A6" workbookViewId="0"/>
  </sheetViews>
  <sheetFormatPr baseColWidth="10" defaultColWidth="8.83203125" defaultRowHeight="15"/>
  <cols>
    <col min="1" max="1" width="4.6640625" customWidth="1"/>
    <col min="2" max="2" width="36.6640625" customWidth="1"/>
    <col min="3" max="3" width="80.6640625" customWidth="1"/>
  </cols>
  <sheetData>
    <row r="2" spans="2:3" ht="38" customHeight="1">
      <c r="B2" s="1" t="s">
        <v>0</v>
      </c>
    </row>
    <row r="3" spans="2:3" ht="16">
      <c r="B3" s="2" t="s">
        <v>1</v>
      </c>
    </row>
    <row r="5" spans="2:3" ht="22" customHeight="1">
      <c r="B5" s="16" t="s">
        <v>2</v>
      </c>
      <c r="C5" s="16"/>
    </row>
    <row r="6" spans="2:3" ht="64" customHeight="1">
      <c r="B6" s="17" t="s">
        <v>3</v>
      </c>
      <c r="C6" s="17"/>
    </row>
    <row r="8" spans="2:3" ht="22" customHeight="1">
      <c r="B8" s="16" t="s">
        <v>4</v>
      </c>
      <c r="C8" s="16"/>
    </row>
    <row r="9" spans="2:3" ht="22" customHeight="1">
      <c r="B9" s="4" t="s">
        <v>5</v>
      </c>
      <c r="C9" s="3" t="s">
        <v>6</v>
      </c>
    </row>
    <row r="10" spans="2:3" ht="22" customHeight="1">
      <c r="B10" s="4" t="s">
        <v>7</v>
      </c>
      <c r="C10" s="3" t="s">
        <v>8</v>
      </c>
    </row>
    <row r="11" spans="2:3" ht="22" customHeight="1">
      <c r="B11" s="4" t="s">
        <v>9</v>
      </c>
      <c r="C11" s="3" t="s">
        <v>10</v>
      </c>
    </row>
    <row r="12" spans="2:3" ht="22" customHeight="1">
      <c r="B12" s="4" t="s">
        <v>11</v>
      </c>
      <c r="C12" s="3" t="s">
        <v>12</v>
      </c>
    </row>
    <row r="13" spans="2:3" ht="22" customHeight="1">
      <c r="B13" s="4" t="s">
        <v>13</v>
      </c>
      <c r="C13" s="3" t="s">
        <v>14</v>
      </c>
    </row>
    <row r="14" spans="2:3" ht="22" customHeight="1">
      <c r="B14" s="4" t="s">
        <v>15</v>
      </c>
      <c r="C14" s="3" t="s">
        <v>16</v>
      </c>
    </row>
    <row r="16" spans="2:3" ht="22" customHeight="1">
      <c r="B16" s="16" t="s">
        <v>17</v>
      </c>
      <c r="C16" s="16"/>
    </row>
    <row r="17" spans="2:3" ht="20" customHeight="1">
      <c r="B17" s="17" t="s">
        <v>18</v>
      </c>
      <c r="C17" s="17"/>
    </row>
    <row r="18" spans="2:3" ht="20" customHeight="1">
      <c r="B18" s="17" t="s">
        <v>19</v>
      </c>
      <c r="C18" s="17"/>
    </row>
    <row r="19" spans="2:3" ht="20" customHeight="1">
      <c r="B19" s="17" t="s">
        <v>20</v>
      </c>
      <c r="C19" s="17"/>
    </row>
    <row r="20" spans="2:3" ht="20" customHeight="1">
      <c r="B20" s="17" t="s">
        <v>21</v>
      </c>
      <c r="C20" s="17"/>
    </row>
    <row r="21" spans="2:3" ht="20" customHeight="1">
      <c r="B21" s="17" t="s">
        <v>22</v>
      </c>
      <c r="C21" s="17"/>
    </row>
    <row r="22" spans="2:3" ht="20" customHeight="1">
      <c r="B22" s="17" t="s">
        <v>23</v>
      </c>
      <c r="C22" s="17"/>
    </row>
    <row r="24" spans="2:3" ht="22" customHeight="1">
      <c r="B24" s="16" t="s">
        <v>24</v>
      </c>
      <c r="C24" s="16"/>
    </row>
    <row r="25" spans="2:3" ht="48" customHeight="1">
      <c r="B25" s="17" t="s">
        <v>25</v>
      </c>
      <c r="C25" s="17"/>
    </row>
  </sheetData>
  <mergeCells count="12">
    <mergeCell ref="B24:C24"/>
    <mergeCell ref="B25:C25"/>
    <mergeCell ref="B18:C18"/>
    <mergeCell ref="B19:C19"/>
    <mergeCell ref="B20:C20"/>
    <mergeCell ref="B21:C21"/>
    <mergeCell ref="B22:C22"/>
    <mergeCell ref="B5:C5"/>
    <mergeCell ref="B6:C6"/>
    <mergeCell ref="B8:C8"/>
    <mergeCell ref="B16:C16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</sheetPr>
  <dimension ref="B2:F96"/>
  <sheetViews>
    <sheetView showGridLines="0" topLeftCell="A8" workbookViewId="0">
      <selection activeCell="D8" sqref="D8"/>
    </sheetView>
  </sheetViews>
  <sheetFormatPr baseColWidth="10" defaultColWidth="8.83203125" defaultRowHeight="15"/>
  <cols>
    <col min="1" max="1" width="4.6640625" customWidth="1"/>
    <col min="2" max="2" width="6.6640625" customWidth="1"/>
    <col min="3" max="3" width="50.6640625" customWidth="1"/>
    <col min="4" max="4" width="70.6640625" customWidth="1"/>
    <col min="6" max="6" width="8.83203125" style="21"/>
  </cols>
  <sheetData>
    <row r="2" spans="2:6" ht="32" customHeight="1">
      <c r="B2" s="18" t="s">
        <v>26</v>
      </c>
      <c r="C2" s="18"/>
      <c r="D2" s="18"/>
    </row>
    <row r="3" spans="2:6" ht="44" customHeight="1">
      <c r="B3" s="19" t="s">
        <v>27</v>
      </c>
      <c r="C3" s="19"/>
      <c r="D3" s="19"/>
    </row>
    <row r="5" spans="2:6" ht="24" customHeight="1">
      <c r="B5" s="20" t="s">
        <v>28</v>
      </c>
      <c r="C5" s="20"/>
      <c r="D5" s="20"/>
    </row>
    <row r="6" spans="2:6" ht="22" customHeight="1">
      <c r="B6" s="5" t="s">
        <v>29</v>
      </c>
      <c r="C6" s="5" t="s">
        <v>30</v>
      </c>
      <c r="D6" s="5" t="s">
        <v>31</v>
      </c>
    </row>
    <row r="7" spans="2:6" ht="34" customHeight="1">
      <c r="B7" s="6" t="s">
        <v>32</v>
      </c>
      <c r="C7" s="7" t="s">
        <v>33</v>
      </c>
      <c r="D7" s="7" t="s">
        <v>34</v>
      </c>
      <c r="F7" s="21" t="s">
        <v>322</v>
      </c>
    </row>
    <row r="8" spans="2:6" ht="34" customHeight="1">
      <c r="B8" s="6" t="s">
        <v>32</v>
      </c>
      <c r="C8" s="8" t="s">
        <v>35</v>
      </c>
      <c r="D8" s="8" t="s">
        <v>36</v>
      </c>
    </row>
    <row r="9" spans="2:6" ht="34" customHeight="1">
      <c r="B9" s="6" t="s">
        <v>32</v>
      </c>
      <c r="C9" s="7" t="s">
        <v>37</v>
      </c>
      <c r="D9" s="7" t="s">
        <v>38</v>
      </c>
    </row>
    <row r="10" spans="2:6" ht="34" customHeight="1">
      <c r="B10" s="6" t="s">
        <v>32</v>
      </c>
      <c r="C10" s="8" t="s">
        <v>39</v>
      </c>
      <c r="D10" s="8" t="s">
        <v>40</v>
      </c>
    </row>
    <row r="11" spans="2:6" ht="34" customHeight="1">
      <c r="B11" s="6" t="s">
        <v>32</v>
      </c>
      <c r="C11" s="7" t="s">
        <v>41</v>
      </c>
      <c r="D11" s="7" t="s">
        <v>42</v>
      </c>
    </row>
    <row r="12" spans="2:6" ht="34" customHeight="1">
      <c r="B12" s="6" t="s">
        <v>32</v>
      </c>
      <c r="C12" s="8" t="s">
        <v>43</v>
      </c>
      <c r="D12" s="8" t="s">
        <v>44</v>
      </c>
    </row>
    <row r="13" spans="2:6" ht="34" customHeight="1">
      <c r="B13" s="6" t="s">
        <v>32</v>
      </c>
      <c r="C13" s="7" t="s">
        <v>45</v>
      </c>
      <c r="D13" s="7" t="s">
        <v>46</v>
      </c>
    </row>
    <row r="14" spans="2:6" ht="34" customHeight="1">
      <c r="B14" s="6" t="s">
        <v>32</v>
      </c>
      <c r="C14" s="8" t="s">
        <v>47</v>
      </c>
      <c r="D14" s="8" t="s">
        <v>48</v>
      </c>
    </row>
    <row r="15" spans="2:6" ht="34" customHeight="1">
      <c r="B15" s="6" t="s">
        <v>32</v>
      </c>
      <c r="C15" s="7" t="s">
        <v>49</v>
      </c>
      <c r="D15" s="7" t="s">
        <v>50</v>
      </c>
    </row>
    <row r="16" spans="2:6" ht="34" customHeight="1">
      <c r="B16" s="6" t="s">
        <v>32</v>
      </c>
      <c r="C16" s="8" t="s">
        <v>51</v>
      </c>
      <c r="D16" s="8" t="s">
        <v>52</v>
      </c>
    </row>
    <row r="18" spans="2:4" ht="24" customHeight="1">
      <c r="B18" s="20" t="s">
        <v>53</v>
      </c>
      <c r="C18" s="20"/>
      <c r="D18" s="20"/>
    </row>
    <row r="19" spans="2:4" ht="22" customHeight="1">
      <c r="B19" s="5" t="s">
        <v>29</v>
      </c>
      <c r="C19" s="5" t="s">
        <v>30</v>
      </c>
      <c r="D19" s="5" t="s">
        <v>31</v>
      </c>
    </row>
    <row r="20" spans="2:4" ht="34" customHeight="1">
      <c r="B20" s="6" t="s">
        <v>32</v>
      </c>
      <c r="C20" s="7" t="s">
        <v>54</v>
      </c>
      <c r="D20" s="7" t="s">
        <v>55</v>
      </c>
    </row>
    <row r="21" spans="2:4" ht="34" customHeight="1">
      <c r="B21" s="6" t="s">
        <v>32</v>
      </c>
      <c r="C21" s="8" t="s">
        <v>56</v>
      </c>
      <c r="D21" s="8" t="s">
        <v>57</v>
      </c>
    </row>
    <row r="22" spans="2:4" ht="34" customHeight="1">
      <c r="B22" s="6" t="s">
        <v>32</v>
      </c>
      <c r="C22" s="7" t="s">
        <v>58</v>
      </c>
      <c r="D22" s="7" t="s">
        <v>59</v>
      </c>
    </row>
    <row r="23" spans="2:4" ht="34" customHeight="1">
      <c r="B23" s="6" t="s">
        <v>32</v>
      </c>
      <c r="C23" s="8" t="s">
        <v>60</v>
      </c>
      <c r="D23" s="8" t="s">
        <v>61</v>
      </c>
    </row>
    <row r="24" spans="2:4" ht="34" customHeight="1">
      <c r="B24" s="6" t="s">
        <v>32</v>
      </c>
      <c r="C24" s="7" t="s">
        <v>62</v>
      </c>
      <c r="D24" s="7" t="s">
        <v>63</v>
      </c>
    </row>
    <row r="25" spans="2:4" ht="34" customHeight="1">
      <c r="B25" s="6" t="s">
        <v>32</v>
      </c>
      <c r="C25" s="8" t="s">
        <v>64</v>
      </c>
      <c r="D25" s="8" t="s">
        <v>65</v>
      </c>
    </row>
    <row r="26" spans="2:4" ht="34" customHeight="1">
      <c r="B26" s="6" t="s">
        <v>32</v>
      </c>
      <c r="C26" s="7" t="s">
        <v>66</v>
      </c>
      <c r="D26" s="7" t="s">
        <v>67</v>
      </c>
    </row>
    <row r="27" spans="2:4" ht="34" customHeight="1">
      <c r="B27" s="6" t="s">
        <v>32</v>
      </c>
      <c r="C27" s="8" t="s">
        <v>68</v>
      </c>
      <c r="D27" s="8" t="s">
        <v>69</v>
      </c>
    </row>
    <row r="28" spans="2:4" ht="34" customHeight="1">
      <c r="B28" s="6" t="s">
        <v>32</v>
      </c>
      <c r="C28" s="7" t="s">
        <v>70</v>
      </c>
      <c r="D28" s="7" t="s">
        <v>71</v>
      </c>
    </row>
    <row r="30" spans="2:4" ht="24" customHeight="1">
      <c r="B30" s="20" t="s">
        <v>72</v>
      </c>
      <c r="C30" s="20"/>
      <c r="D30" s="20"/>
    </row>
    <row r="31" spans="2:4" ht="22" customHeight="1">
      <c r="B31" s="5" t="s">
        <v>29</v>
      </c>
      <c r="C31" s="5" t="s">
        <v>30</v>
      </c>
      <c r="D31" s="5" t="s">
        <v>31</v>
      </c>
    </row>
    <row r="32" spans="2:4" ht="34" customHeight="1">
      <c r="B32" s="6" t="s">
        <v>32</v>
      </c>
      <c r="C32" s="7" t="s">
        <v>73</v>
      </c>
      <c r="D32" s="7" t="s">
        <v>74</v>
      </c>
    </row>
    <row r="33" spans="2:4" ht="34" customHeight="1">
      <c r="B33" s="6" t="s">
        <v>32</v>
      </c>
      <c r="C33" s="8" t="s">
        <v>75</v>
      </c>
      <c r="D33" s="8" t="s">
        <v>76</v>
      </c>
    </row>
    <row r="34" spans="2:4" ht="34" customHeight="1">
      <c r="B34" s="6" t="s">
        <v>32</v>
      </c>
      <c r="C34" s="7" t="s">
        <v>77</v>
      </c>
      <c r="D34" s="7" t="s">
        <v>78</v>
      </c>
    </row>
    <row r="35" spans="2:4" ht="34" customHeight="1">
      <c r="B35" s="6" t="s">
        <v>32</v>
      </c>
      <c r="C35" s="8" t="s">
        <v>79</v>
      </c>
      <c r="D35" s="8" t="s">
        <v>80</v>
      </c>
    </row>
    <row r="36" spans="2:4" ht="34" customHeight="1">
      <c r="B36" s="6" t="s">
        <v>32</v>
      </c>
      <c r="C36" s="7" t="s">
        <v>81</v>
      </c>
      <c r="D36" s="7" t="s">
        <v>82</v>
      </c>
    </row>
    <row r="37" spans="2:4" ht="34" customHeight="1">
      <c r="B37" s="6" t="s">
        <v>32</v>
      </c>
      <c r="C37" s="8" t="s">
        <v>83</v>
      </c>
      <c r="D37" s="8" t="s">
        <v>84</v>
      </c>
    </row>
    <row r="38" spans="2:4" ht="34" customHeight="1">
      <c r="B38" s="6" t="s">
        <v>32</v>
      </c>
      <c r="C38" s="7" t="s">
        <v>85</v>
      </c>
      <c r="D38" s="7" t="s">
        <v>86</v>
      </c>
    </row>
    <row r="39" spans="2:4" ht="34" customHeight="1">
      <c r="B39" s="6" t="s">
        <v>32</v>
      </c>
      <c r="C39" s="8" t="s">
        <v>87</v>
      </c>
      <c r="D39" s="8" t="s">
        <v>88</v>
      </c>
    </row>
    <row r="40" spans="2:4" ht="34" customHeight="1">
      <c r="B40" s="6" t="s">
        <v>32</v>
      </c>
      <c r="C40" s="7" t="s">
        <v>89</v>
      </c>
      <c r="D40" s="7" t="s">
        <v>90</v>
      </c>
    </row>
    <row r="41" spans="2:4" ht="34" customHeight="1">
      <c r="B41" s="6" t="s">
        <v>32</v>
      </c>
      <c r="C41" s="8" t="s">
        <v>91</v>
      </c>
      <c r="D41" s="8" t="s">
        <v>92</v>
      </c>
    </row>
    <row r="43" spans="2:4" ht="24" customHeight="1">
      <c r="B43" s="20" t="s">
        <v>93</v>
      </c>
      <c r="C43" s="20"/>
      <c r="D43" s="20"/>
    </row>
    <row r="44" spans="2:4" ht="22" customHeight="1">
      <c r="B44" s="5" t="s">
        <v>29</v>
      </c>
      <c r="C44" s="5" t="s">
        <v>30</v>
      </c>
      <c r="D44" s="5" t="s">
        <v>31</v>
      </c>
    </row>
    <row r="45" spans="2:4" ht="34" customHeight="1">
      <c r="B45" s="6" t="s">
        <v>32</v>
      </c>
      <c r="C45" s="7" t="s">
        <v>94</v>
      </c>
      <c r="D45" s="7" t="s">
        <v>95</v>
      </c>
    </row>
    <row r="46" spans="2:4" ht="34" customHeight="1">
      <c r="B46" s="6" t="s">
        <v>32</v>
      </c>
      <c r="C46" s="8" t="s">
        <v>96</v>
      </c>
      <c r="D46" s="8" t="s">
        <v>97</v>
      </c>
    </row>
    <row r="47" spans="2:4" ht="34" customHeight="1">
      <c r="B47" s="6" t="s">
        <v>32</v>
      </c>
      <c r="C47" s="7" t="s">
        <v>98</v>
      </c>
      <c r="D47" s="7" t="s">
        <v>99</v>
      </c>
    </row>
    <row r="48" spans="2:4" ht="34" customHeight="1">
      <c r="B48" s="6" t="s">
        <v>32</v>
      </c>
      <c r="C48" s="8" t="s">
        <v>100</v>
      </c>
      <c r="D48" s="8" t="s">
        <v>101</v>
      </c>
    </row>
    <row r="49" spans="2:4" ht="34" customHeight="1">
      <c r="B49" s="6" t="s">
        <v>32</v>
      </c>
      <c r="C49" s="7" t="s">
        <v>102</v>
      </c>
      <c r="D49" s="7" t="s">
        <v>103</v>
      </c>
    </row>
    <row r="50" spans="2:4" ht="34" customHeight="1">
      <c r="B50" s="6" t="s">
        <v>32</v>
      </c>
      <c r="C50" s="8" t="s">
        <v>104</v>
      </c>
      <c r="D50" s="8" t="s">
        <v>105</v>
      </c>
    </row>
    <row r="51" spans="2:4" ht="34" customHeight="1">
      <c r="B51" s="6" t="s">
        <v>32</v>
      </c>
      <c r="C51" s="7" t="s">
        <v>106</v>
      </c>
      <c r="D51" s="7" t="s">
        <v>107</v>
      </c>
    </row>
    <row r="52" spans="2:4" ht="34" customHeight="1">
      <c r="B52" s="6" t="s">
        <v>32</v>
      </c>
      <c r="C52" s="8" t="s">
        <v>108</v>
      </c>
      <c r="D52" s="8" t="s">
        <v>109</v>
      </c>
    </row>
    <row r="54" spans="2:4" ht="24" customHeight="1">
      <c r="B54" s="20" t="s">
        <v>110</v>
      </c>
      <c r="C54" s="20"/>
      <c r="D54" s="20"/>
    </row>
    <row r="55" spans="2:4" ht="22" customHeight="1">
      <c r="B55" s="5" t="s">
        <v>29</v>
      </c>
      <c r="C55" s="5" t="s">
        <v>30</v>
      </c>
      <c r="D55" s="5" t="s">
        <v>31</v>
      </c>
    </row>
    <row r="56" spans="2:4" ht="34" customHeight="1">
      <c r="B56" s="6" t="s">
        <v>32</v>
      </c>
      <c r="C56" s="7" t="s">
        <v>111</v>
      </c>
      <c r="D56" s="7" t="s">
        <v>112</v>
      </c>
    </row>
    <row r="57" spans="2:4" ht="34" customHeight="1">
      <c r="B57" s="6" t="s">
        <v>32</v>
      </c>
      <c r="C57" s="8" t="s">
        <v>113</v>
      </c>
      <c r="D57" s="8" t="s">
        <v>114</v>
      </c>
    </row>
    <row r="58" spans="2:4" ht="34" customHeight="1">
      <c r="B58" s="6" t="s">
        <v>32</v>
      </c>
      <c r="C58" s="7" t="s">
        <v>115</v>
      </c>
      <c r="D58" s="7" t="s">
        <v>116</v>
      </c>
    </row>
    <row r="59" spans="2:4" ht="34" customHeight="1">
      <c r="B59" s="6" t="s">
        <v>32</v>
      </c>
      <c r="C59" s="8" t="s">
        <v>117</v>
      </c>
      <c r="D59" s="8" t="s">
        <v>118</v>
      </c>
    </row>
    <row r="60" spans="2:4" ht="34" customHeight="1">
      <c r="B60" s="6" t="s">
        <v>32</v>
      </c>
      <c r="C60" s="7" t="s">
        <v>119</v>
      </c>
      <c r="D60" s="7" t="s">
        <v>120</v>
      </c>
    </row>
    <row r="61" spans="2:4" ht="34" customHeight="1">
      <c r="B61" s="6" t="s">
        <v>32</v>
      </c>
      <c r="C61" s="8" t="s">
        <v>121</v>
      </c>
      <c r="D61" s="8" t="s">
        <v>122</v>
      </c>
    </row>
    <row r="62" spans="2:4" ht="34" customHeight="1">
      <c r="B62" s="6" t="s">
        <v>32</v>
      </c>
      <c r="C62" s="7" t="s">
        <v>123</v>
      </c>
      <c r="D62" s="7" t="s">
        <v>124</v>
      </c>
    </row>
    <row r="63" spans="2:4" ht="34" customHeight="1">
      <c r="B63" s="6" t="s">
        <v>32</v>
      </c>
      <c r="C63" s="8" t="s">
        <v>125</v>
      </c>
      <c r="D63" s="8" t="s">
        <v>126</v>
      </c>
    </row>
    <row r="65" spans="2:4" ht="24" customHeight="1">
      <c r="B65" s="20" t="s">
        <v>127</v>
      </c>
      <c r="C65" s="20"/>
      <c r="D65" s="20"/>
    </row>
    <row r="66" spans="2:4" ht="22" customHeight="1">
      <c r="B66" s="5" t="s">
        <v>29</v>
      </c>
      <c r="C66" s="5" t="s">
        <v>30</v>
      </c>
      <c r="D66" s="5" t="s">
        <v>31</v>
      </c>
    </row>
    <row r="67" spans="2:4" ht="34" customHeight="1">
      <c r="B67" s="6" t="s">
        <v>32</v>
      </c>
      <c r="C67" s="7" t="s">
        <v>128</v>
      </c>
      <c r="D67" s="7" t="s">
        <v>129</v>
      </c>
    </row>
    <row r="68" spans="2:4" ht="34" customHeight="1">
      <c r="B68" s="6" t="s">
        <v>32</v>
      </c>
      <c r="C68" s="8" t="s">
        <v>130</v>
      </c>
      <c r="D68" s="8" t="s">
        <v>131</v>
      </c>
    </row>
    <row r="69" spans="2:4" ht="34" customHeight="1">
      <c r="B69" s="6" t="s">
        <v>32</v>
      </c>
      <c r="C69" s="7" t="s">
        <v>132</v>
      </c>
      <c r="D69" s="7" t="s">
        <v>133</v>
      </c>
    </row>
    <row r="70" spans="2:4" ht="34" customHeight="1">
      <c r="B70" s="6" t="s">
        <v>32</v>
      </c>
      <c r="C70" s="8" t="s">
        <v>134</v>
      </c>
      <c r="D70" s="8" t="s">
        <v>135</v>
      </c>
    </row>
    <row r="71" spans="2:4" ht="34" customHeight="1">
      <c r="B71" s="6" t="s">
        <v>32</v>
      </c>
      <c r="C71" s="7" t="s">
        <v>136</v>
      </c>
      <c r="D71" s="7" t="s">
        <v>137</v>
      </c>
    </row>
    <row r="72" spans="2:4" ht="34" customHeight="1">
      <c r="B72" s="6" t="s">
        <v>32</v>
      </c>
      <c r="C72" s="8" t="s">
        <v>138</v>
      </c>
      <c r="D72" s="8" t="s">
        <v>139</v>
      </c>
    </row>
    <row r="73" spans="2:4" ht="34" customHeight="1">
      <c r="B73" s="6" t="s">
        <v>32</v>
      </c>
      <c r="C73" s="7" t="s">
        <v>140</v>
      </c>
      <c r="D73" s="7" t="s">
        <v>141</v>
      </c>
    </row>
    <row r="74" spans="2:4" ht="34" customHeight="1">
      <c r="B74" s="6" t="s">
        <v>32</v>
      </c>
      <c r="C74" s="8" t="s">
        <v>142</v>
      </c>
      <c r="D74" s="8" t="s">
        <v>143</v>
      </c>
    </row>
    <row r="75" spans="2:4" ht="34" customHeight="1">
      <c r="B75" s="6" t="s">
        <v>32</v>
      </c>
      <c r="C75" s="7" t="s">
        <v>144</v>
      </c>
      <c r="D75" s="7" t="s">
        <v>145</v>
      </c>
    </row>
    <row r="77" spans="2:4" ht="24" customHeight="1">
      <c r="B77" s="20" t="s">
        <v>146</v>
      </c>
      <c r="C77" s="20"/>
      <c r="D77" s="20"/>
    </row>
    <row r="78" spans="2:4" ht="22" customHeight="1">
      <c r="B78" s="5" t="s">
        <v>29</v>
      </c>
      <c r="C78" s="5" t="s">
        <v>30</v>
      </c>
      <c r="D78" s="5" t="s">
        <v>31</v>
      </c>
    </row>
    <row r="79" spans="2:4" ht="34" customHeight="1">
      <c r="B79" s="6" t="s">
        <v>32</v>
      </c>
      <c r="C79" s="7" t="s">
        <v>147</v>
      </c>
      <c r="D79" s="7" t="s">
        <v>148</v>
      </c>
    </row>
    <row r="80" spans="2:4" ht="34" customHeight="1">
      <c r="B80" s="6" t="s">
        <v>32</v>
      </c>
      <c r="C80" s="8" t="s">
        <v>149</v>
      </c>
      <c r="D80" s="8" t="s">
        <v>150</v>
      </c>
    </row>
    <row r="81" spans="2:4" ht="34" customHeight="1">
      <c r="B81" s="6" t="s">
        <v>32</v>
      </c>
      <c r="C81" s="7" t="s">
        <v>151</v>
      </c>
      <c r="D81" s="7" t="s">
        <v>152</v>
      </c>
    </row>
    <row r="82" spans="2:4" ht="34" customHeight="1">
      <c r="B82" s="6" t="s">
        <v>32</v>
      </c>
      <c r="C82" s="8" t="s">
        <v>153</v>
      </c>
      <c r="D82" s="8" t="s">
        <v>154</v>
      </c>
    </row>
    <row r="83" spans="2:4" ht="34" customHeight="1">
      <c r="B83" s="6" t="s">
        <v>32</v>
      </c>
      <c r="C83" s="7" t="s">
        <v>155</v>
      </c>
      <c r="D83" s="7" t="s">
        <v>156</v>
      </c>
    </row>
    <row r="84" spans="2:4" ht="34" customHeight="1">
      <c r="B84" s="6" t="s">
        <v>32</v>
      </c>
      <c r="C84" s="8" t="s">
        <v>157</v>
      </c>
      <c r="D84" s="8" t="s">
        <v>158</v>
      </c>
    </row>
    <row r="85" spans="2:4" ht="34" customHeight="1">
      <c r="B85" s="6" t="s">
        <v>32</v>
      </c>
      <c r="C85" s="7" t="s">
        <v>159</v>
      </c>
      <c r="D85" s="7" t="s">
        <v>160</v>
      </c>
    </row>
    <row r="86" spans="2:4" ht="34" customHeight="1">
      <c r="B86" s="6" t="s">
        <v>32</v>
      </c>
      <c r="C86" s="8" t="s">
        <v>161</v>
      </c>
      <c r="D86" s="8" t="s">
        <v>162</v>
      </c>
    </row>
    <row r="88" spans="2:4" ht="24" customHeight="1">
      <c r="B88" s="20" t="s">
        <v>163</v>
      </c>
      <c r="C88" s="20"/>
      <c r="D88" s="20"/>
    </row>
    <row r="89" spans="2:4" ht="22" customHeight="1">
      <c r="B89" s="5" t="s">
        <v>29</v>
      </c>
      <c r="C89" s="5" t="s">
        <v>30</v>
      </c>
      <c r="D89" s="5" t="s">
        <v>31</v>
      </c>
    </row>
    <row r="90" spans="2:4" ht="34" customHeight="1">
      <c r="B90" s="6" t="s">
        <v>32</v>
      </c>
      <c r="C90" s="7" t="s">
        <v>164</v>
      </c>
      <c r="D90" s="7" t="s">
        <v>165</v>
      </c>
    </row>
    <row r="91" spans="2:4" ht="34" customHeight="1">
      <c r="B91" s="6" t="s">
        <v>32</v>
      </c>
      <c r="C91" s="8" t="s">
        <v>166</v>
      </c>
      <c r="D91" s="8" t="s">
        <v>167</v>
      </c>
    </row>
    <row r="92" spans="2:4" ht="34" customHeight="1">
      <c r="B92" s="6" t="s">
        <v>32</v>
      </c>
      <c r="C92" s="7" t="s">
        <v>168</v>
      </c>
      <c r="D92" s="7" t="s">
        <v>169</v>
      </c>
    </row>
    <row r="93" spans="2:4" ht="34" customHeight="1">
      <c r="B93" s="6" t="s">
        <v>32</v>
      </c>
      <c r="C93" s="8" t="s">
        <v>170</v>
      </c>
      <c r="D93" s="8" t="s">
        <v>171</v>
      </c>
    </row>
    <row r="94" spans="2:4" ht="34" customHeight="1">
      <c r="B94" s="6" t="s">
        <v>32</v>
      </c>
      <c r="C94" s="7" t="s">
        <v>172</v>
      </c>
      <c r="D94" s="7" t="s">
        <v>173</v>
      </c>
    </row>
    <row r="95" spans="2:4" ht="34" customHeight="1">
      <c r="B95" s="6" t="s">
        <v>32</v>
      </c>
      <c r="C95" s="8" t="s">
        <v>174</v>
      </c>
      <c r="D95" s="8" t="s">
        <v>175</v>
      </c>
    </row>
    <row r="96" spans="2:4" ht="34" customHeight="1">
      <c r="B96" s="6" t="s">
        <v>32</v>
      </c>
      <c r="C96" s="7" t="s">
        <v>176</v>
      </c>
      <c r="D96" s="7" t="s">
        <v>177</v>
      </c>
    </row>
  </sheetData>
  <mergeCells count="10">
    <mergeCell ref="B43:D43"/>
    <mergeCell ref="B54:D54"/>
    <mergeCell ref="B65:D65"/>
    <mergeCell ref="B77:D77"/>
    <mergeCell ref="B88:D88"/>
    <mergeCell ref="B2:D2"/>
    <mergeCell ref="B3:D3"/>
    <mergeCell ref="B5:D5"/>
    <mergeCell ref="B18:D18"/>
    <mergeCell ref="B30:D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B923C"/>
  </sheetPr>
  <dimension ref="B2:E45"/>
  <sheetViews>
    <sheetView showGridLines="0" topLeftCell="A27" workbookViewId="0">
      <selection activeCell="B12" sqref="B12"/>
    </sheetView>
  </sheetViews>
  <sheetFormatPr baseColWidth="10" defaultColWidth="8.83203125" defaultRowHeight="15"/>
  <cols>
    <col min="1" max="1" width="4.6640625" customWidth="1"/>
    <col min="2" max="2" width="44.6640625" customWidth="1"/>
    <col min="3" max="3" width="18.6640625" customWidth="1"/>
    <col min="4" max="4" width="64.6640625" customWidth="1"/>
    <col min="5" max="5" width="8.83203125" style="21"/>
  </cols>
  <sheetData>
    <row r="2" spans="2:5" ht="32" customHeight="1">
      <c r="B2" s="18" t="s">
        <v>178</v>
      </c>
      <c r="C2" s="18"/>
      <c r="D2" s="18"/>
    </row>
    <row r="3" spans="2:5" ht="36" customHeight="1">
      <c r="B3" s="19" t="s">
        <v>179</v>
      </c>
      <c r="C3" s="19"/>
      <c r="D3" s="19"/>
    </row>
    <row r="5" spans="2:5" ht="24" customHeight="1">
      <c r="B5" s="16" t="s">
        <v>180</v>
      </c>
      <c r="C5" s="16"/>
      <c r="D5" s="16"/>
    </row>
    <row r="6" spans="2:5" ht="22" customHeight="1">
      <c r="B6" s="5" t="s">
        <v>30</v>
      </c>
      <c r="C6" s="5" t="s">
        <v>181</v>
      </c>
      <c r="D6" s="5" t="s">
        <v>182</v>
      </c>
    </row>
    <row r="7" spans="2:5" ht="24" customHeight="1">
      <c r="B7" s="4" t="s">
        <v>183</v>
      </c>
      <c r="C7" s="9">
        <v>400</v>
      </c>
      <c r="D7" s="3" t="s">
        <v>184</v>
      </c>
      <c r="E7" s="21" t="s">
        <v>323</v>
      </c>
    </row>
    <row r="8" spans="2:5" ht="24" customHeight="1">
      <c r="B8" s="4" t="s">
        <v>185</v>
      </c>
      <c r="C8" s="9">
        <v>95</v>
      </c>
      <c r="D8" s="3" t="s">
        <v>186</v>
      </c>
    </row>
    <row r="9" spans="2:5" ht="24" customHeight="1">
      <c r="B9" s="4" t="s">
        <v>187</v>
      </c>
      <c r="C9" s="9">
        <v>120</v>
      </c>
      <c r="D9" s="3" t="s">
        <v>188</v>
      </c>
    </row>
    <row r="10" spans="2:5" ht="24" customHeight="1">
      <c r="B10" s="4" t="s">
        <v>189</v>
      </c>
      <c r="C10" s="9">
        <v>4</v>
      </c>
      <c r="D10" s="3" t="s">
        <v>190</v>
      </c>
    </row>
    <row r="11" spans="2:5" ht="24" customHeight="1">
      <c r="B11" s="4" t="s">
        <v>191</v>
      </c>
      <c r="C11" s="9">
        <v>33</v>
      </c>
      <c r="D11" s="3" t="s">
        <v>192</v>
      </c>
    </row>
    <row r="12" spans="2:5" ht="24" customHeight="1">
      <c r="B12" s="4" t="s">
        <v>193</v>
      </c>
      <c r="C12" s="9">
        <v>250</v>
      </c>
      <c r="D12" s="3" t="s">
        <v>194</v>
      </c>
    </row>
    <row r="13" spans="2:5" ht="24" customHeight="1">
      <c r="B13" s="4" t="s">
        <v>195</v>
      </c>
      <c r="C13" s="10">
        <f>SUM(C7:C12)</f>
        <v>902</v>
      </c>
      <c r="D13" s="3" t="s">
        <v>196</v>
      </c>
    </row>
    <row r="15" spans="2:5" ht="24" customHeight="1">
      <c r="B15" s="16" t="s">
        <v>197</v>
      </c>
      <c r="C15" s="16"/>
      <c r="D15" s="16"/>
    </row>
    <row r="16" spans="2:5" ht="22" customHeight="1">
      <c r="B16" s="5" t="s">
        <v>30</v>
      </c>
      <c r="C16" s="5" t="s">
        <v>181</v>
      </c>
      <c r="D16" s="5" t="s">
        <v>198</v>
      </c>
    </row>
    <row r="17" spans="2:4" ht="22" customHeight="1">
      <c r="B17" s="4" t="s">
        <v>199</v>
      </c>
      <c r="C17" s="9">
        <v>120</v>
      </c>
      <c r="D17" s="3" t="s">
        <v>200</v>
      </c>
    </row>
    <row r="18" spans="2:4" ht="22" customHeight="1">
      <c r="B18" s="4" t="s">
        <v>201</v>
      </c>
      <c r="C18" s="9">
        <v>350</v>
      </c>
      <c r="D18" s="3" t="s">
        <v>202</v>
      </c>
    </row>
    <row r="19" spans="2:4" ht="22" customHeight="1">
      <c r="B19" s="4" t="s">
        <v>203</v>
      </c>
      <c r="C19" s="9">
        <v>250</v>
      </c>
      <c r="D19" s="3" t="s">
        <v>204</v>
      </c>
    </row>
    <row r="20" spans="2:4" ht="22" customHeight="1">
      <c r="B20" s="4" t="s">
        <v>205</v>
      </c>
      <c r="C20" s="9">
        <v>1000</v>
      </c>
      <c r="D20" s="3" t="s">
        <v>202</v>
      </c>
    </row>
    <row r="21" spans="2:4" ht="22" customHeight="1">
      <c r="B21" s="4" t="s">
        <v>206</v>
      </c>
      <c r="C21" s="9">
        <v>95</v>
      </c>
      <c r="D21" s="3" t="s">
        <v>207</v>
      </c>
    </row>
    <row r="22" spans="2:4" ht="22" customHeight="1">
      <c r="B22" s="4" t="s">
        <v>208</v>
      </c>
      <c r="C22" s="9">
        <v>1000</v>
      </c>
      <c r="D22" s="3" t="s">
        <v>209</v>
      </c>
    </row>
    <row r="24" spans="2:4" ht="24" customHeight="1">
      <c r="B24" s="16" t="s">
        <v>210</v>
      </c>
      <c r="C24" s="16"/>
      <c r="D24" s="16"/>
    </row>
    <row r="25" spans="2:4" ht="22" customHeight="1">
      <c r="B25" s="5" t="s">
        <v>30</v>
      </c>
      <c r="C25" s="5" t="s">
        <v>211</v>
      </c>
      <c r="D25" s="5" t="s">
        <v>182</v>
      </c>
    </row>
    <row r="26" spans="2:4" ht="28" customHeight="1">
      <c r="B26" s="4" t="s">
        <v>212</v>
      </c>
      <c r="C26" s="9">
        <v>120</v>
      </c>
      <c r="D26" s="3" t="s">
        <v>213</v>
      </c>
    </row>
    <row r="27" spans="2:4" ht="24" customHeight="1">
      <c r="B27" s="4" t="s">
        <v>214</v>
      </c>
      <c r="C27" s="9">
        <v>10</v>
      </c>
      <c r="D27" s="3" t="s">
        <v>215</v>
      </c>
    </row>
    <row r="28" spans="2:4" ht="28" customHeight="1">
      <c r="B28" s="4" t="s">
        <v>216</v>
      </c>
      <c r="C28" s="11">
        <v>4</v>
      </c>
      <c r="D28" s="3" t="s">
        <v>217</v>
      </c>
    </row>
    <row r="30" spans="2:4" ht="24" customHeight="1">
      <c r="B30" s="16" t="s">
        <v>218</v>
      </c>
      <c r="C30" s="16"/>
      <c r="D30" s="16"/>
    </row>
    <row r="31" spans="2:4" ht="22" customHeight="1">
      <c r="B31" s="5" t="s">
        <v>30</v>
      </c>
      <c r="C31" s="5" t="s">
        <v>219</v>
      </c>
      <c r="D31" s="5" t="s">
        <v>182</v>
      </c>
    </row>
    <row r="32" spans="2:4" ht="24" customHeight="1">
      <c r="B32" s="4" t="s">
        <v>220</v>
      </c>
      <c r="C32" s="9">
        <v>1300</v>
      </c>
      <c r="D32" s="3" t="s">
        <v>221</v>
      </c>
    </row>
    <row r="33" spans="2:4" ht="24" customHeight="1">
      <c r="B33" s="4" t="s">
        <v>222</v>
      </c>
      <c r="C33" s="9">
        <v>2500</v>
      </c>
      <c r="D33" s="3" t="s">
        <v>223</v>
      </c>
    </row>
    <row r="34" spans="2:4" ht="24" customHeight="1">
      <c r="B34" s="4" t="s">
        <v>224</v>
      </c>
      <c r="C34" s="9">
        <v>4800</v>
      </c>
      <c r="D34" s="3" t="s">
        <v>225</v>
      </c>
    </row>
    <row r="35" spans="2:4" ht="24" customHeight="1">
      <c r="B35" s="4" t="s">
        <v>226</v>
      </c>
      <c r="C35" s="11">
        <v>36</v>
      </c>
      <c r="D35" s="3" t="s">
        <v>227</v>
      </c>
    </row>
    <row r="36" spans="2:4" ht="24" customHeight="1">
      <c r="B36" s="4" t="s">
        <v>228</v>
      </c>
      <c r="C36" s="9">
        <v>30</v>
      </c>
      <c r="D36" s="3" t="s">
        <v>229</v>
      </c>
    </row>
    <row r="37" spans="2:4" ht="24" customHeight="1">
      <c r="B37" s="4" t="s">
        <v>230</v>
      </c>
      <c r="C37" s="9">
        <v>18</v>
      </c>
      <c r="D37" s="3" t="s">
        <v>231</v>
      </c>
    </row>
    <row r="38" spans="2:4" ht="24" customHeight="1">
      <c r="B38" s="4" t="s">
        <v>232</v>
      </c>
      <c r="C38" s="9">
        <v>2</v>
      </c>
      <c r="D38" s="3" t="s">
        <v>233</v>
      </c>
    </row>
    <row r="40" spans="2:4" ht="28" customHeight="1">
      <c r="B40" s="4" t="s">
        <v>234</v>
      </c>
      <c r="C40" s="10">
        <f>ROUND('Cost Inputs'!$C$33/'Cost Inputs'!$C$35+'Cost Inputs'!$C$36+'Cost Inputs'!$C$37+'Cost Inputs'!$C$38,0)</f>
        <v>119</v>
      </c>
      <c r="D40" s="3" t="s">
        <v>235</v>
      </c>
    </row>
    <row r="42" spans="2:4" ht="24" customHeight="1">
      <c r="B42" s="16" t="s">
        <v>236</v>
      </c>
      <c r="C42" s="16"/>
      <c r="D42" s="16"/>
    </row>
    <row r="43" spans="2:4" ht="22" customHeight="1">
      <c r="B43" s="5" t="s">
        <v>30</v>
      </c>
      <c r="C43" s="5" t="s">
        <v>219</v>
      </c>
      <c r="D43" s="5" t="s">
        <v>182</v>
      </c>
    </row>
    <row r="44" spans="2:4" ht="24" customHeight="1">
      <c r="B44" s="4" t="s">
        <v>237</v>
      </c>
      <c r="C44" s="9">
        <v>1500</v>
      </c>
      <c r="D44" s="3" t="s">
        <v>238</v>
      </c>
    </row>
    <row r="45" spans="2:4" ht="24" customHeight="1">
      <c r="B45" s="4" t="s">
        <v>239</v>
      </c>
      <c r="C45" s="9">
        <v>2500</v>
      </c>
      <c r="D45" s="3" t="s">
        <v>240</v>
      </c>
    </row>
  </sheetData>
  <mergeCells count="7">
    <mergeCell ref="B30:D30"/>
    <mergeCell ref="B42:D42"/>
    <mergeCell ref="B2:D2"/>
    <mergeCell ref="B3:D3"/>
    <mergeCell ref="B5:D5"/>
    <mergeCell ref="B15:D15"/>
    <mergeCell ref="B24:D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B923C"/>
  </sheetPr>
  <dimension ref="B2:F34"/>
  <sheetViews>
    <sheetView showGridLines="0" tabSelected="1" topLeftCell="A11" workbookViewId="0">
      <selection activeCell="E32" sqref="E32"/>
    </sheetView>
  </sheetViews>
  <sheetFormatPr baseColWidth="10" defaultColWidth="8.83203125" defaultRowHeight="15"/>
  <cols>
    <col min="1" max="1" width="4.6640625" customWidth="1"/>
    <col min="2" max="5" width="18.6640625" customWidth="1"/>
    <col min="6" max="6" width="60.6640625" customWidth="1"/>
  </cols>
  <sheetData>
    <row r="2" spans="2:6" ht="32" customHeight="1">
      <c r="B2" s="18" t="s">
        <v>241</v>
      </c>
      <c r="C2" s="18"/>
      <c r="D2" s="18"/>
      <c r="E2" s="18"/>
      <c r="F2" s="18"/>
    </row>
    <row r="3" spans="2:6" ht="36" customHeight="1">
      <c r="B3" s="19" t="s">
        <v>242</v>
      </c>
      <c r="C3" s="19"/>
      <c r="D3" s="19"/>
      <c r="E3" s="19"/>
      <c r="F3" s="19"/>
    </row>
    <row r="5" spans="2:6" ht="24" customHeight="1">
      <c r="B5" s="16" t="s">
        <v>243</v>
      </c>
      <c r="C5" s="16"/>
      <c r="D5" s="16"/>
      <c r="E5" s="16"/>
      <c r="F5" s="16"/>
    </row>
    <row r="6" spans="2:6" ht="22" customHeight="1">
      <c r="B6" s="5" t="s">
        <v>244</v>
      </c>
      <c r="C6" s="5" t="s">
        <v>245</v>
      </c>
      <c r="D6" s="5" t="s">
        <v>246</v>
      </c>
      <c r="E6" s="5" t="s">
        <v>247</v>
      </c>
      <c r="F6" s="5" t="s">
        <v>182</v>
      </c>
    </row>
    <row r="7" spans="2:6" ht="24" customHeight="1">
      <c r="B7" s="4" t="s">
        <v>248</v>
      </c>
      <c r="C7" s="9"/>
      <c r="D7" s="12"/>
      <c r="E7" s="13">
        <f>C7*D7</f>
        <v>0</v>
      </c>
      <c r="F7" s="3" t="s">
        <v>249</v>
      </c>
    </row>
    <row r="8" spans="2:6" ht="24" customHeight="1">
      <c r="B8" s="4" t="s">
        <v>250</v>
      </c>
      <c r="C8" s="9">
        <v>150</v>
      </c>
      <c r="D8" s="12">
        <v>0.5</v>
      </c>
      <c r="E8" s="13">
        <f>C8*D8</f>
        <v>75</v>
      </c>
      <c r="F8" s="3" t="s">
        <v>251</v>
      </c>
    </row>
    <row r="9" spans="2:6" ht="24" customHeight="1">
      <c r="B9" s="4" t="s">
        <v>252</v>
      </c>
      <c r="C9" s="9">
        <v>250</v>
      </c>
      <c r="D9" s="12">
        <v>0.2</v>
      </c>
      <c r="E9" s="13">
        <f>C9*D9</f>
        <v>50</v>
      </c>
      <c r="F9" s="3" t="s">
        <v>253</v>
      </c>
    </row>
    <row r="10" spans="2:6" ht="24" customHeight="1">
      <c r="B10" s="4" t="s">
        <v>254</v>
      </c>
      <c r="C10" s="9">
        <v>400</v>
      </c>
      <c r="D10" s="12">
        <v>0</v>
      </c>
      <c r="E10" s="13">
        <f>C10*D10</f>
        <v>0</v>
      </c>
      <c r="F10" s="3" t="s">
        <v>255</v>
      </c>
    </row>
    <row r="11" spans="2:6" ht="22" customHeight="1">
      <c r="B11" s="4" t="s">
        <v>256</v>
      </c>
      <c r="D11" s="13">
        <f>SUM(D7:D10)</f>
        <v>0.7</v>
      </c>
      <c r="F11" s="14" t="s">
        <v>257</v>
      </c>
    </row>
    <row r="12" spans="2:6" ht="24" customHeight="1">
      <c r="B12" s="4" t="s">
        <v>258</v>
      </c>
      <c r="E12" s="10">
        <f>SUMPRODUCT(C7:C10,D7:D10)/MAX(SUM(D7:D10),0.0001)</f>
        <v>178.57142857142858</v>
      </c>
    </row>
    <row r="14" spans="2:6" ht="24" customHeight="1">
      <c r="B14" s="16" t="s">
        <v>259</v>
      </c>
      <c r="C14" s="16"/>
      <c r="D14" s="16"/>
      <c r="E14" s="16"/>
      <c r="F14" s="16"/>
    </row>
    <row r="15" spans="2:6" ht="22" customHeight="1">
      <c r="B15" s="5" t="s">
        <v>260</v>
      </c>
      <c r="C15" s="5" t="s">
        <v>261</v>
      </c>
      <c r="D15" s="5" t="s">
        <v>262</v>
      </c>
      <c r="E15" s="5" t="s">
        <v>263</v>
      </c>
      <c r="F15" s="5" t="s">
        <v>182</v>
      </c>
    </row>
    <row r="16" spans="2:6" ht="24" customHeight="1">
      <c r="B16" s="4" t="s">
        <v>264</v>
      </c>
      <c r="C16" s="3" t="s">
        <v>265</v>
      </c>
      <c r="D16" s="12">
        <v>0.15</v>
      </c>
      <c r="E16" s="9">
        <v>25</v>
      </c>
      <c r="F16" s="3" t="s">
        <v>266</v>
      </c>
    </row>
    <row r="17" spans="2:6" ht="24" customHeight="1">
      <c r="B17" s="4" t="s">
        <v>267</v>
      </c>
      <c r="C17" s="3" t="s">
        <v>268</v>
      </c>
      <c r="D17" s="12">
        <v>0.4</v>
      </c>
      <c r="E17" s="9">
        <v>0</v>
      </c>
      <c r="F17" s="3" t="s">
        <v>269</v>
      </c>
    </row>
    <row r="18" spans="2:6" ht="24" customHeight="1">
      <c r="B18" s="4" t="s">
        <v>270</v>
      </c>
      <c r="C18" s="3" t="s">
        <v>271</v>
      </c>
      <c r="D18" s="12">
        <v>0.05</v>
      </c>
      <c r="E18" s="9">
        <v>0</v>
      </c>
      <c r="F18" s="3" t="s">
        <v>272</v>
      </c>
    </row>
    <row r="19" spans="2:6" ht="24" customHeight="1">
      <c r="B19" s="4" t="s">
        <v>273</v>
      </c>
      <c r="C19" s="3" t="s">
        <v>274</v>
      </c>
      <c r="D19" s="12">
        <v>0.4</v>
      </c>
      <c r="E19" s="9">
        <v>0</v>
      </c>
      <c r="F19" s="3" t="s">
        <v>275</v>
      </c>
    </row>
    <row r="20" spans="2:6" ht="22" customHeight="1">
      <c r="B20" s="4" t="s">
        <v>256</v>
      </c>
      <c r="D20" s="13">
        <f>SUM(D16:D19)</f>
        <v>1</v>
      </c>
      <c r="F20" s="14" t="s">
        <v>276</v>
      </c>
    </row>
    <row r="22" spans="2:6" ht="22" customHeight="1">
      <c r="B22" s="4" t="s">
        <v>277</v>
      </c>
      <c r="D22" s="13">
        <f>'Tier Pricing'!$D$16+'Tier Pricing'!$D$17+'Tier Pricing'!$D$18</f>
        <v>0.60000000000000009</v>
      </c>
      <c r="F22" s="14" t="s">
        <v>278</v>
      </c>
    </row>
    <row r="23" spans="2:6" ht="28" customHeight="1">
      <c r="B23" s="4" t="s">
        <v>279</v>
      </c>
      <c r="E23" s="10">
        <f>'Tier Pricing'!$E$12+'Tier Pricing'!$D$22*'Cost Inputs'!$C$40+'Tier Pricing'!$D$16*'Tier Pricing'!$E$16</f>
        <v>253.72142857142859</v>
      </c>
      <c r="F23" s="14" t="s">
        <v>280</v>
      </c>
    </row>
    <row r="28" spans="2:6">
      <c r="C28" t="s">
        <v>250</v>
      </c>
      <c r="E28" t="s">
        <v>326</v>
      </c>
    </row>
    <row r="32" spans="2:6">
      <c r="C32" s="22" t="s">
        <v>324</v>
      </c>
      <c r="E32" s="22" t="s">
        <v>327</v>
      </c>
    </row>
    <row r="33" spans="3:3">
      <c r="C33" s="22" t="s">
        <v>325</v>
      </c>
    </row>
    <row r="34" spans="3:3">
      <c r="C34" s="22"/>
    </row>
  </sheetData>
  <mergeCells count="4">
    <mergeCell ref="B2:F2"/>
    <mergeCell ref="B3:F3"/>
    <mergeCell ref="B5:F5"/>
    <mergeCell ref="B14:F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D9488"/>
  </sheetPr>
  <dimension ref="B2:L43"/>
  <sheetViews>
    <sheetView showGridLines="0" workbookViewId="0"/>
  </sheetViews>
  <sheetFormatPr baseColWidth="10" defaultColWidth="8.83203125" defaultRowHeight="15"/>
  <cols>
    <col min="1" max="1" width="4.6640625" customWidth="1"/>
    <col min="2" max="2" width="9.6640625" customWidth="1"/>
    <col min="3" max="12" width="14.6640625" customWidth="1"/>
  </cols>
  <sheetData>
    <row r="2" spans="2:12" ht="32" customHeight="1">
      <c r="B2" s="18" t="s">
        <v>281</v>
      </c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2:12" ht="36" customHeight="1">
      <c r="B3" s="19" t="s">
        <v>282</v>
      </c>
      <c r="C3" s="19"/>
      <c r="D3" s="19"/>
      <c r="E3" s="19"/>
      <c r="F3" s="19"/>
      <c r="G3" s="19"/>
      <c r="H3" s="19"/>
      <c r="I3" s="19"/>
      <c r="J3" s="19"/>
      <c r="K3" s="19"/>
      <c r="L3" s="19"/>
    </row>
    <row r="6" spans="2:12" ht="30" customHeight="1">
      <c r="B6" s="5" t="s">
        <v>283</v>
      </c>
      <c r="C6" s="5" t="s">
        <v>284</v>
      </c>
      <c r="D6" s="5" t="s">
        <v>285</v>
      </c>
      <c r="E6" s="5" t="s">
        <v>286</v>
      </c>
      <c r="F6" s="5" t="s">
        <v>287</v>
      </c>
      <c r="G6" s="5" t="s">
        <v>288</v>
      </c>
      <c r="H6" s="5" t="s">
        <v>289</v>
      </c>
      <c r="I6" s="5" t="s">
        <v>290</v>
      </c>
      <c r="J6" s="5" t="s">
        <v>291</v>
      </c>
      <c r="K6" s="5" t="s">
        <v>292</v>
      </c>
      <c r="L6" s="5" t="s">
        <v>293</v>
      </c>
    </row>
    <row r="7" spans="2:12" ht="20" customHeight="1">
      <c r="B7" s="13">
        <v>1</v>
      </c>
      <c r="C7" s="11">
        <v>1</v>
      </c>
      <c r="D7" s="13">
        <f>C7</f>
        <v>1</v>
      </c>
      <c r="E7" s="13">
        <f>C7*'Cost Inputs'!$C$44</f>
        <v>1500</v>
      </c>
      <c r="F7" s="13">
        <f>D7*'Tier Pricing'!$E$23</f>
        <v>253.72142857142859</v>
      </c>
      <c r="G7" s="10">
        <f t="shared" ref="G7:G42" si="0">E7+F7</f>
        <v>1753.7214285714285</v>
      </c>
      <c r="H7" s="13">
        <f>'Cost Inputs'!$C$13+IF(D7&gt;=10,'Cost Inputs'!$C$17,0)+IF(D7&gt;=20,'Cost Inputs'!$C$18,0)+IF(D7&gt;=30,'Cost Inputs'!$C$19,0)+IF(D7&gt;=20,'Cost Inputs'!$C$20,0)+0+0</f>
        <v>902</v>
      </c>
      <c r="I7" s="13">
        <f>IF(D7&lt;='Cost Inputs'!$C$28,D7*'Cost Inputs'!$C$26,D7*'Cost Inputs'!$C$27)+D7*'Tier Pricing'!$D$22*'Cost Inputs'!$C$40</f>
        <v>191.4</v>
      </c>
      <c r="J7" s="13">
        <f t="shared" ref="J7:J42" si="1">H7+I7</f>
        <v>1093.4000000000001</v>
      </c>
      <c r="K7" s="15">
        <f t="shared" ref="K7:K42" si="2">G7-J7</f>
        <v>660.32142857142844</v>
      </c>
      <c r="L7" s="15">
        <f>K7</f>
        <v>660.32142857142844</v>
      </c>
    </row>
    <row r="8" spans="2:12" ht="20" customHeight="1">
      <c r="B8" s="13">
        <v>2</v>
      </c>
      <c r="C8" s="11">
        <v>0</v>
      </c>
      <c r="D8" s="13">
        <f t="shared" ref="D8:D42" si="3">D7+C8</f>
        <v>1</v>
      </c>
      <c r="E8" s="13">
        <f>C8*'Cost Inputs'!$C$44</f>
        <v>0</v>
      </c>
      <c r="F8" s="13">
        <f>D8*'Tier Pricing'!$E$23</f>
        <v>253.72142857142859</v>
      </c>
      <c r="G8" s="10">
        <f t="shared" si="0"/>
        <v>253.72142857142859</v>
      </c>
      <c r="H8" s="13">
        <f>'Cost Inputs'!$C$13+IF(D8&gt;=10,'Cost Inputs'!$C$17,0)+IF(D8&gt;=20,'Cost Inputs'!$C$18,0)+IF(D8&gt;=30,'Cost Inputs'!$C$19,0)+IF(D8&gt;=20,'Cost Inputs'!$C$20,0)+0+0</f>
        <v>902</v>
      </c>
      <c r="I8" s="13">
        <f>IF(D8&lt;='Cost Inputs'!$C$28,D8*'Cost Inputs'!$C$26,D8*'Cost Inputs'!$C$27)+D8*'Tier Pricing'!$D$22*'Cost Inputs'!$C$40</f>
        <v>191.4</v>
      </c>
      <c r="J8" s="13">
        <f t="shared" si="1"/>
        <v>1093.4000000000001</v>
      </c>
      <c r="K8" s="15">
        <f t="shared" si="2"/>
        <v>-839.67857142857156</v>
      </c>
      <c r="L8" s="15">
        <f t="shared" ref="L8:L42" si="4">L7+K8</f>
        <v>-179.35714285714312</v>
      </c>
    </row>
    <row r="9" spans="2:12" ht="20" customHeight="1">
      <c r="B9" s="13">
        <v>3</v>
      </c>
      <c r="C9" s="11">
        <v>0</v>
      </c>
      <c r="D9" s="13">
        <f t="shared" si="3"/>
        <v>1</v>
      </c>
      <c r="E9" s="13">
        <f>C9*'Cost Inputs'!$C$44</f>
        <v>0</v>
      </c>
      <c r="F9" s="13">
        <f>D9*'Tier Pricing'!$E$23</f>
        <v>253.72142857142859</v>
      </c>
      <c r="G9" s="10">
        <f t="shared" si="0"/>
        <v>253.72142857142859</v>
      </c>
      <c r="H9" s="13">
        <f>'Cost Inputs'!$C$13+IF(D9&gt;=10,'Cost Inputs'!$C$17,0)+IF(D9&gt;=20,'Cost Inputs'!$C$18,0)+IF(D9&gt;=30,'Cost Inputs'!$C$19,0)+IF(D9&gt;=20,'Cost Inputs'!$C$20,0)+0+0</f>
        <v>902</v>
      </c>
      <c r="I9" s="13">
        <f>IF(D9&lt;='Cost Inputs'!$C$28,D9*'Cost Inputs'!$C$26,D9*'Cost Inputs'!$C$27)+D9*'Tier Pricing'!$D$22*'Cost Inputs'!$C$40</f>
        <v>191.4</v>
      </c>
      <c r="J9" s="13">
        <f t="shared" si="1"/>
        <v>1093.4000000000001</v>
      </c>
      <c r="K9" s="15">
        <f t="shared" si="2"/>
        <v>-839.67857142857156</v>
      </c>
      <c r="L9" s="15">
        <f t="shared" si="4"/>
        <v>-1019.0357142857147</v>
      </c>
    </row>
    <row r="10" spans="2:12" ht="20" customHeight="1">
      <c r="B10" s="13">
        <v>4</v>
      </c>
      <c r="C10" s="11">
        <v>1</v>
      </c>
      <c r="D10" s="13">
        <f t="shared" si="3"/>
        <v>2</v>
      </c>
      <c r="E10" s="13">
        <f>C10*'Cost Inputs'!$C$44</f>
        <v>1500</v>
      </c>
      <c r="F10" s="13">
        <f>D10*'Tier Pricing'!$E$23</f>
        <v>507.44285714285718</v>
      </c>
      <c r="G10" s="10">
        <f t="shared" si="0"/>
        <v>2007.4428571428571</v>
      </c>
      <c r="H10" s="13">
        <f>'Cost Inputs'!$C$13+IF(D10&gt;=10,'Cost Inputs'!$C$17,0)+IF(D10&gt;=20,'Cost Inputs'!$C$18,0)+IF(D10&gt;=30,'Cost Inputs'!$C$19,0)+IF(D10&gt;=20,'Cost Inputs'!$C$20,0)+0+0</f>
        <v>902</v>
      </c>
      <c r="I10" s="13">
        <f>IF(D10&lt;='Cost Inputs'!$C$28,D10*'Cost Inputs'!$C$26,D10*'Cost Inputs'!$C$27)+D10*'Tier Pricing'!$D$22*'Cost Inputs'!$C$40</f>
        <v>382.8</v>
      </c>
      <c r="J10" s="13">
        <f t="shared" si="1"/>
        <v>1284.8</v>
      </c>
      <c r="K10" s="15">
        <f t="shared" si="2"/>
        <v>722.64285714285711</v>
      </c>
      <c r="L10" s="15">
        <f t="shared" si="4"/>
        <v>-296.39285714285757</v>
      </c>
    </row>
    <row r="11" spans="2:12" ht="20" customHeight="1">
      <c r="B11" s="13">
        <v>5</v>
      </c>
      <c r="C11" s="11">
        <v>1</v>
      </c>
      <c r="D11" s="13">
        <f t="shared" si="3"/>
        <v>3</v>
      </c>
      <c r="E11" s="13">
        <f>C11*'Cost Inputs'!$C$44</f>
        <v>1500</v>
      </c>
      <c r="F11" s="13">
        <f>D11*'Tier Pricing'!$E$23</f>
        <v>761.16428571428582</v>
      </c>
      <c r="G11" s="10">
        <f t="shared" si="0"/>
        <v>2261.1642857142861</v>
      </c>
      <c r="H11" s="13">
        <f>'Cost Inputs'!$C$13+IF(D11&gt;=10,'Cost Inputs'!$C$17,0)+IF(D11&gt;=20,'Cost Inputs'!$C$18,0)+IF(D11&gt;=30,'Cost Inputs'!$C$19,0)+IF(D11&gt;=20,'Cost Inputs'!$C$20,0)+0+0</f>
        <v>902</v>
      </c>
      <c r="I11" s="13">
        <f>IF(D11&lt;='Cost Inputs'!$C$28,D11*'Cost Inputs'!$C$26,D11*'Cost Inputs'!$C$27)+D11*'Tier Pricing'!$D$22*'Cost Inputs'!$C$40</f>
        <v>574.20000000000005</v>
      </c>
      <c r="J11" s="13">
        <f t="shared" si="1"/>
        <v>1476.2</v>
      </c>
      <c r="K11" s="15">
        <f t="shared" si="2"/>
        <v>784.96428571428601</v>
      </c>
      <c r="L11" s="15">
        <f t="shared" si="4"/>
        <v>488.57142857142844</v>
      </c>
    </row>
    <row r="12" spans="2:12" ht="20" customHeight="1">
      <c r="B12" s="13">
        <v>6</v>
      </c>
      <c r="C12" s="11">
        <v>0</v>
      </c>
      <c r="D12" s="13">
        <f t="shared" si="3"/>
        <v>3</v>
      </c>
      <c r="E12" s="13">
        <f>C12*'Cost Inputs'!$C$44</f>
        <v>0</v>
      </c>
      <c r="F12" s="13">
        <f>D12*'Tier Pricing'!$E$23</f>
        <v>761.16428571428582</v>
      </c>
      <c r="G12" s="10">
        <f t="shared" si="0"/>
        <v>761.16428571428582</v>
      </c>
      <c r="H12" s="13">
        <f>'Cost Inputs'!$C$13+IF(D12&gt;=10,'Cost Inputs'!$C$17,0)+IF(D12&gt;=20,'Cost Inputs'!$C$18,0)+IF(D12&gt;=30,'Cost Inputs'!$C$19,0)+IF(D12&gt;=20,'Cost Inputs'!$C$20,0)+0+0</f>
        <v>902</v>
      </c>
      <c r="I12" s="13">
        <f>IF(D12&lt;='Cost Inputs'!$C$28,D12*'Cost Inputs'!$C$26,D12*'Cost Inputs'!$C$27)+D12*'Tier Pricing'!$D$22*'Cost Inputs'!$C$40</f>
        <v>574.20000000000005</v>
      </c>
      <c r="J12" s="13">
        <f t="shared" si="1"/>
        <v>1476.2</v>
      </c>
      <c r="K12" s="15">
        <f t="shared" si="2"/>
        <v>-715.03571428571422</v>
      </c>
      <c r="L12" s="15">
        <f t="shared" si="4"/>
        <v>-226.46428571428578</v>
      </c>
    </row>
    <row r="13" spans="2:12" ht="20" customHeight="1">
      <c r="B13" s="13">
        <v>7</v>
      </c>
      <c r="C13" s="11">
        <v>1</v>
      </c>
      <c r="D13" s="13">
        <f t="shared" si="3"/>
        <v>4</v>
      </c>
      <c r="E13" s="13">
        <f>C13*'Cost Inputs'!$C$44</f>
        <v>1500</v>
      </c>
      <c r="F13" s="13">
        <f>D13*'Tier Pricing'!$E$23</f>
        <v>1014.8857142857144</v>
      </c>
      <c r="G13" s="10">
        <f t="shared" si="0"/>
        <v>2514.8857142857141</v>
      </c>
      <c r="H13" s="13">
        <f>'Cost Inputs'!$C$13+IF(D13&gt;=10,'Cost Inputs'!$C$17,0)+IF(D13&gt;=20,'Cost Inputs'!$C$18,0)+IF(D13&gt;=30,'Cost Inputs'!$C$19,0)+IF(D13&gt;=20,'Cost Inputs'!$C$20,0)+0+0</f>
        <v>902</v>
      </c>
      <c r="I13" s="13">
        <f>IF(D13&lt;='Cost Inputs'!$C$28,D13*'Cost Inputs'!$C$26,D13*'Cost Inputs'!$C$27)+D13*'Tier Pricing'!$D$22*'Cost Inputs'!$C$40</f>
        <v>765.6</v>
      </c>
      <c r="J13" s="13">
        <f t="shared" si="1"/>
        <v>1667.6</v>
      </c>
      <c r="K13" s="15">
        <f t="shared" si="2"/>
        <v>847.28571428571422</v>
      </c>
      <c r="L13" s="15">
        <f t="shared" si="4"/>
        <v>620.82142857142844</v>
      </c>
    </row>
    <row r="14" spans="2:12" ht="20" customHeight="1">
      <c r="B14" s="13">
        <v>8</v>
      </c>
      <c r="C14" s="11">
        <v>1</v>
      </c>
      <c r="D14" s="13">
        <f t="shared" si="3"/>
        <v>5</v>
      </c>
      <c r="E14" s="13">
        <f>C14*'Cost Inputs'!$C$44</f>
        <v>1500</v>
      </c>
      <c r="F14" s="13">
        <f>D14*'Tier Pricing'!$E$23</f>
        <v>1268.6071428571429</v>
      </c>
      <c r="G14" s="10">
        <f t="shared" si="0"/>
        <v>2768.6071428571431</v>
      </c>
      <c r="H14" s="13">
        <f>'Cost Inputs'!$C$13+IF(D14&gt;=10,'Cost Inputs'!$C$17,0)+IF(D14&gt;=20,'Cost Inputs'!$C$18,0)+IF(D14&gt;=30,'Cost Inputs'!$C$19,0)+IF(D14&gt;=20,'Cost Inputs'!$C$20,0)+0+0</f>
        <v>902</v>
      </c>
      <c r="I14" s="13">
        <f>IF(D14&lt;='Cost Inputs'!$C$28,D14*'Cost Inputs'!$C$26,D14*'Cost Inputs'!$C$27)+D14*'Tier Pricing'!$D$22*'Cost Inputs'!$C$40</f>
        <v>407.00000000000006</v>
      </c>
      <c r="J14" s="13">
        <f t="shared" si="1"/>
        <v>1309</v>
      </c>
      <c r="K14" s="15">
        <f t="shared" si="2"/>
        <v>1459.6071428571431</v>
      </c>
      <c r="L14" s="15">
        <f t="shared" si="4"/>
        <v>2080.4285714285716</v>
      </c>
    </row>
    <row r="15" spans="2:12" ht="20" customHeight="1">
      <c r="B15" s="13">
        <v>9</v>
      </c>
      <c r="C15" s="11">
        <v>1</v>
      </c>
      <c r="D15" s="13">
        <f t="shared" si="3"/>
        <v>6</v>
      </c>
      <c r="E15" s="13">
        <f>C15*'Cost Inputs'!$C$44</f>
        <v>1500</v>
      </c>
      <c r="F15" s="13">
        <f>D15*'Tier Pricing'!$E$23</f>
        <v>1522.3285714285716</v>
      </c>
      <c r="G15" s="10">
        <f t="shared" si="0"/>
        <v>3022.3285714285716</v>
      </c>
      <c r="H15" s="13">
        <f>'Cost Inputs'!$C$13+IF(D15&gt;=10,'Cost Inputs'!$C$17,0)+IF(D15&gt;=20,'Cost Inputs'!$C$18,0)+IF(D15&gt;=30,'Cost Inputs'!$C$19,0)+IF(D15&gt;=20,'Cost Inputs'!$C$20,0)+0+0</f>
        <v>902</v>
      </c>
      <c r="I15" s="13">
        <f>IF(D15&lt;='Cost Inputs'!$C$28,D15*'Cost Inputs'!$C$26,D15*'Cost Inputs'!$C$27)+D15*'Tier Pricing'!$D$22*'Cost Inputs'!$C$40</f>
        <v>488.40000000000009</v>
      </c>
      <c r="J15" s="13">
        <f t="shared" si="1"/>
        <v>1390.4</v>
      </c>
      <c r="K15" s="15">
        <f t="shared" si="2"/>
        <v>1631.9285714285716</v>
      </c>
      <c r="L15" s="15">
        <f t="shared" si="4"/>
        <v>3712.3571428571431</v>
      </c>
    </row>
    <row r="16" spans="2:12" ht="20" customHeight="1">
      <c r="B16" s="13">
        <v>10</v>
      </c>
      <c r="C16" s="11">
        <v>2</v>
      </c>
      <c r="D16" s="13">
        <f t="shared" si="3"/>
        <v>8</v>
      </c>
      <c r="E16" s="13">
        <f>C16*'Cost Inputs'!$C$44</f>
        <v>3000</v>
      </c>
      <c r="F16" s="13">
        <f>D16*'Tier Pricing'!$E$23</f>
        <v>2029.7714285714287</v>
      </c>
      <c r="G16" s="10">
        <f t="shared" si="0"/>
        <v>5029.7714285714283</v>
      </c>
      <c r="H16" s="13">
        <f>'Cost Inputs'!$C$13+IF(D16&gt;=10,'Cost Inputs'!$C$17,0)+IF(D16&gt;=20,'Cost Inputs'!$C$18,0)+IF(D16&gt;=30,'Cost Inputs'!$C$19,0)+IF(D16&gt;=20,'Cost Inputs'!$C$20,0)+0+0</f>
        <v>902</v>
      </c>
      <c r="I16" s="13">
        <f>IF(D16&lt;='Cost Inputs'!$C$28,D16*'Cost Inputs'!$C$26,D16*'Cost Inputs'!$C$27)+D16*'Tier Pricing'!$D$22*'Cost Inputs'!$C$40</f>
        <v>651.20000000000005</v>
      </c>
      <c r="J16" s="13">
        <f t="shared" si="1"/>
        <v>1553.2</v>
      </c>
      <c r="K16" s="15">
        <f t="shared" si="2"/>
        <v>3476.5714285714284</v>
      </c>
      <c r="L16" s="15">
        <f t="shared" si="4"/>
        <v>7188.9285714285716</v>
      </c>
    </row>
    <row r="17" spans="2:12" ht="20" customHeight="1">
      <c r="B17" s="13">
        <v>11</v>
      </c>
      <c r="C17" s="11">
        <v>2</v>
      </c>
      <c r="D17" s="13">
        <f t="shared" si="3"/>
        <v>10</v>
      </c>
      <c r="E17" s="13">
        <f>C17*'Cost Inputs'!$C$44</f>
        <v>3000</v>
      </c>
      <c r="F17" s="13">
        <f>D17*'Tier Pricing'!$E$23</f>
        <v>2537.2142857142858</v>
      </c>
      <c r="G17" s="10">
        <f t="shared" si="0"/>
        <v>5537.2142857142862</v>
      </c>
      <c r="H17" s="13">
        <f>'Cost Inputs'!$C$13+IF(D17&gt;=10,'Cost Inputs'!$C$17,0)+IF(D17&gt;=20,'Cost Inputs'!$C$18,0)+IF(D17&gt;=30,'Cost Inputs'!$C$19,0)+IF(D17&gt;=20,'Cost Inputs'!$C$20,0)+0+0</f>
        <v>1022</v>
      </c>
      <c r="I17" s="13">
        <f>IF(D17&lt;='Cost Inputs'!$C$28,D17*'Cost Inputs'!$C$26,D17*'Cost Inputs'!$C$27)+D17*'Tier Pricing'!$D$22*'Cost Inputs'!$C$40</f>
        <v>814.00000000000011</v>
      </c>
      <c r="J17" s="13">
        <f t="shared" si="1"/>
        <v>1836</v>
      </c>
      <c r="K17" s="15">
        <f t="shared" si="2"/>
        <v>3701.2142857142862</v>
      </c>
      <c r="L17" s="15">
        <f t="shared" si="4"/>
        <v>10890.142857142859</v>
      </c>
    </row>
    <row r="18" spans="2:12" ht="20" customHeight="1">
      <c r="B18" s="13">
        <v>12</v>
      </c>
      <c r="C18" s="11">
        <v>2</v>
      </c>
      <c r="D18" s="13">
        <f t="shared" si="3"/>
        <v>12</v>
      </c>
      <c r="E18" s="13">
        <f>C18*'Cost Inputs'!$C$44</f>
        <v>3000</v>
      </c>
      <c r="F18" s="13">
        <f>D18*'Tier Pricing'!$E$23</f>
        <v>3044.6571428571433</v>
      </c>
      <c r="G18" s="10">
        <f t="shared" si="0"/>
        <v>6044.6571428571433</v>
      </c>
      <c r="H18" s="13">
        <f>'Cost Inputs'!$C$13+IF(D18&gt;=10,'Cost Inputs'!$C$17,0)+IF(D18&gt;=20,'Cost Inputs'!$C$18,0)+IF(D18&gt;=30,'Cost Inputs'!$C$19,0)+IF(D18&gt;=20,'Cost Inputs'!$C$20,0)+0+0</f>
        <v>1022</v>
      </c>
      <c r="I18" s="13">
        <f>IF(D18&lt;='Cost Inputs'!$C$28,D18*'Cost Inputs'!$C$26,D18*'Cost Inputs'!$C$27)+D18*'Tier Pricing'!$D$22*'Cost Inputs'!$C$40</f>
        <v>976.80000000000018</v>
      </c>
      <c r="J18" s="13">
        <f t="shared" si="1"/>
        <v>1998.8000000000002</v>
      </c>
      <c r="K18" s="15">
        <f t="shared" si="2"/>
        <v>4045.8571428571431</v>
      </c>
      <c r="L18" s="15">
        <f t="shared" si="4"/>
        <v>14936.000000000002</v>
      </c>
    </row>
    <row r="19" spans="2:12" ht="20" customHeight="1">
      <c r="B19" s="13">
        <v>13</v>
      </c>
      <c r="C19" s="11">
        <v>2</v>
      </c>
      <c r="D19" s="13">
        <f t="shared" si="3"/>
        <v>14</v>
      </c>
      <c r="E19" s="13">
        <f>C19*'Cost Inputs'!$C$44</f>
        <v>3000</v>
      </c>
      <c r="F19" s="13">
        <f>D19*'Tier Pricing'!$E$23</f>
        <v>3552.1000000000004</v>
      </c>
      <c r="G19" s="10">
        <f t="shared" si="0"/>
        <v>6552.1</v>
      </c>
      <c r="H19" s="13">
        <f>'Cost Inputs'!$C$13+IF(D19&gt;=10,'Cost Inputs'!$C$17,0)+IF(D19&gt;=20,'Cost Inputs'!$C$18,0)+IF(D19&gt;=30,'Cost Inputs'!$C$19,0)+IF(D19&gt;=20,'Cost Inputs'!$C$20,0)+0+0</f>
        <v>1022</v>
      </c>
      <c r="I19" s="13">
        <f>IF(D19&lt;='Cost Inputs'!$C$28,D19*'Cost Inputs'!$C$26,D19*'Cost Inputs'!$C$27)+D19*'Tier Pricing'!$D$22*'Cost Inputs'!$C$40</f>
        <v>1139.6000000000004</v>
      </c>
      <c r="J19" s="13">
        <f t="shared" si="1"/>
        <v>2161.6000000000004</v>
      </c>
      <c r="K19" s="15">
        <f t="shared" si="2"/>
        <v>4390.5</v>
      </c>
      <c r="L19" s="15">
        <f t="shared" si="4"/>
        <v>19326.5</v>
      </c>
    </row>
    <row r="20" spans="2:12" ht="20" customHeight="1">
      <c r="B20" s="13">
        <v>14</v>
      </c>
      <c r="C20" s="11">
        <v>2</v>
      </c>
      <c r="D20" s="13">
        <f t="shared" si="3"/>
        <v>16</v>
      </c>
      <c r="E20" s="13">
        <f>C20*'Cost Inputs'!$C$44</f>
        <v>3000</v>
      </c>
      <c r="F20" s="13">
        <f>D20*'Tier Pricing'!$E$23</f>
        <v>4059.5428571428574</v>
      </c>
      <c r="G20" s="10">
        <f t="shared" si="0"/>
        <v>7059.5428571428574</v>
      </c>
      <c r="H20" s="13">
        <f>'Cost Inputs'!$C$13+IF(D20&gt;=10,'Cost Inputs'!$C$17,0)+IF(D20&gt;=20,'Cost Inputs'!$C$18,0)+IF(D20&gt;=30,'Cost Inputs'!$C$19,0)+IF(D20&gt;=20,'Cost Inputs'!$C$20,0)+0+0</f>
        <v>1022</v>
      </c>
      <c r="I20" s="13">
        <f>IF(D20&lt;='Cost Inputs'!$C$28,D20*'Cost Inputs'!$C$26,D20*'Cost Inputs'!$C$27)+D20*'Tier Pricing'!$D$22*'Cost Inputs'!$C$40</f>
        <v>1302.4000000000001</v>
      </c>
      <c r="J20" s="13">
        <f t="shared" si="1"/>
        <v>2324.4</v>
      </c>
      <c r="K20" s="15">
        <f t="shared" si="2"/>
        <v>4735.1428571428569</v>
      </c>
      <c r="L20" s="15">
        <f t="shared" si="4"/>
        <v>24061.642857142855</v>
      </c>
    </row>
    <row r="21" spans="2:12" ht="20" customHeight="1">
      <c r="B21" s="13">
        <v>15</v>
      </c>
      <c r="C21" s="11">
        <v>3</v>
      </c>
      <c r="D21" s="13">
        <f t="shared" si="3"/>
        <v>19</v>
      </c>
      <c r="E21" s="13">
        <f>C21*'Cost Inputs'!$C$44</f>
        <v>4500</v>
      </c>
      <c r="F21" s="13">
        <f>D21*'Tier Pricing'!$E$23</f>
        <v>4820.7071428571435</v>
      </c>
      <c r="G21" s="10">
        <f t="shared" si="0"/>
        <v>9320.7071428571435</v>
      </c>
      <c r="H21" s="13">
        <f>'Cost Inputs'!$C$13+IF(D21&gt;=10,'Cost Inputs'!$C$17,0)+IF(D21&gt;=20,'Cost Inputs'!$C$18,0)+IF(D21&gt;=30,'Cost Inputs'!$C$19,0)+IF(D21&gt;=20,'Cost Inputs'!$C$20,0)+0+0</f>
        <v>1022</v>
      </c>
      <c r="I21" s="13">
        <f>IF(D21&lt;='Cost Inputs'!$C$28,D21*'Cost Inputs'!$C$26,D21*'Cost Inputs'!$C$27)+D21*'Tier Pricing'!$D$22*'Cost Inputs'!$C$40</f>
        <v>1546.6000000000004</v>
      </c>
      <c r="J21" s="13">
        <f t="shared" si="1"/>
        <v>2568.6000000000004</v>
      </c>
      <c r="K21" s="15">
        <f t="shared" si="2"/>
        <v>6752.1071428571431</v>
      </c>
      <c r="L21" s="15">
        <f t="shared" si="4"/>
        <v>30813.75</v>
      </c>
    </row>
    <row r="22" spans="2:12" ht="20" customHeight="1">
      <c r="B22" s="13">
        <v>16</v>
      </c>
      <c r="C22" s="11">
        <v>3</v>
      </c>
      <c r="D22" s="13">
        <f t="shared" si="3"/>
        <v>22</v>
      </c>
      <c r="E22" s="13">
        <f>C22*'Cost Inputs'!$C$44</f>
        <v>4500</v>
      </c>
      <c r="F22" s="13">
        <f>D22*'Tier Pricing'!$E$23</f>
        <v>5581.8714285714286</v>
      </c>
      <c r="G22" s="10">
        <f t="shared" si="0"/>
        <v>10081.871428571429</v>
      </c>
      <c r="H22" s="13">
        <f>'Cost Inputs'!$C$13+IF(D22&gt;=10,'Cost Inputs'!$C$17,0)+IF(D22&gt;=20,'Cost Inputs'!$C$18,0)+IF(D22&gt;=30,'Cost Inputs'!$C$19,0)+IF(D22&gt;=20,'Cost Inputs'!$C$20,0)+0+0</f>
        <v>2372</v>
      </c>
      <c r="I22" s="13">
        <f>IF(D22&lt;='Cost Inputs'!$C$28,D22*'Cost Inputs'!$C$26,D22*'Cost Inputs'!$C$27)+D22*'Tier Pricing'!$D$22*'Cost Inputs'!$C$40</f>
        <v>1790.8000000000004</v>
      </c>
      <c r="J22" s="13">
        <f t="shared" si="1"/>
        <v>4162.8</v>
      </c>
      <c r="K22" s="15">
        <f t="shared" si="2"/>
        <v>5919.0714285714284</v>
      </c>
      <c r="L22" s="15">
        <f t="shared" si="4"/>
        <v>36732.821428571428</v>
      </c>
    </row>
    <row r="23" spans="2:12" ht="20" customHeight="1">
      <c r="B23" s="13">
        <v>17</v>
      </c>
      <c r="C23" s="11">
        <v>3</v>
      </c>
      <c r="D23" s="13">
        <f t="shared" si="3"/>
        <v>25</v>
      </c>
      <c r="E23" s="13">
        <f>C23*'Cost Inputs'!$C$44</f>
        <v>4500</v>
      </c>
      <c r="F23" s="13">
        <f>D23*'Tier Pricing'!$E$23</f>
        <v>6343.0357142857147</v>
      </c>
      <c r="G23" s="10">
        <f t="shared" si="0"/>
        <v>10843.035714285714</v>
      </c>
      <c r="H23" s="13">
        <f>'Cost Inputs'!$C$13+IF(D23&gt;=10,'Cost Inputs'!$C$17,0)+IF(D23&gt;=20,'Cost Inputs'!$C$18,0)+IF(D23&gt;=30,'Cost Inputs'!$C$19,0)+IF(D23&gt;=20,'Cost Inputs'!$C$20,0)+0+0</f>
        <v>2372</v>
      </c>
      <c r="I23" s="13">
        <f>IF(D23&lt;='Cost Inputs'!$C$28,D23*'Cost Inputs'!$C$26,D23*'Cost Inputs'!$C$27)+D23*'Tier Pricing'!$D$22*'Cost Inputs'!$C$40</f>
        <v>2035.0000000000002</v>
      </c>
      <c r="J23" s="13">
        <f t="shared" si="1"/>
        <v>4407</v>
      </c>
      <c r="K23" s="15">
        <f t="shared" si="2"/>
        <v>6436.0357142857138</v>
      </c>
      <c r="L23" s="15">
        <f t="shared" si="4"/>
        <v>43168.857142857145</v>
      </c>
    </row>
    <row r="24" spans="2:12" ht="20" customHeight="1">
      <c r="B24" s="13">
        <v>18</v>
      </c>
      <c r="C24" s="11">
        <v>3</v>
      </c>
      <c r="D24" s="13">
        <f t="shared" si="3"/>
        <v>28</v>
      </c>
      <c r="E24" s="13">
        <f>C24*'Cost Inputs'!$C$44</f>
        <v>4500</v>
      </c>
      <c r="F24" s="13">
        <f>D24*'Tier Pricing'!$E$23</f>
        <v>7104.2000000000007</v>
      </c>
      <c r="G24" s="10">
        <f t="shared" si="0"/>
        <v>11604.2</v>
      </c>
      <c r="H24" s="13">
        <f>'Cost Inputs'!$C$13+IF(D24&gt;=10,'Cost Inputs'!$C$17,0)+IF(D24&gt;=20,'Cost Inputs'!$C$18,0)+IF(D24&gt;=30,'Cost Inputs'!$C$19,0)+IF(D24&gt;=20,'Cost Inputs'!$C$20,0)+0+0</f>
        <v>2372</v>
      </c>
      <c r="I24" s="13">
        <f>IF(D24&lt;='Cost Inputs'!$C$28,D24*'Cost Inputs'!$C$26,D24*'Cost Inputs'!$C$27)+D24*'Tier Pricing'!$D$22*'Cost Inputs'!$C$40</f>
        <v>2279.2000000000007</v>
      </c>
      <c r="J24" s="13">
        <f t="shared" si="1"/>
        <v>4651.2000000000007</v>
      </c>
      <c r="K24" s="15">
        <f t="shared" si="2"/>
        <v>6953</v>
      </c>
      <c r="L24" s="15">
        <f t="shared" si="4"/>
        <v>50121.857142857145</v>
      </c>
    </row>
    <row r="25" spans="2:12" ht="20" customHeight="1">
      <c r="B25" s="13">
        <v>19</v>
      </c>
      <c r="C25" s="11">
        <v>3</v>
      </c>
      <c r="D25" s="13">
        <f t="shared" si="3"/>
        <v>31</v>
      </c>
      <c r="E25" s="13">
        <f>C25*'Cost Inputs'!$C$44</f>
        <v>4500</v>
      </c>
      <c r="F25" s="13">
        <f>D25*'Tier Pricing'!$E$23</f>
        <v>7865.3642857142859</v>
      </c>
      <c r="G25" s="10">
        <f t="shared" si="0"/>
        <v>12365.364285714286</v>
      </c>
      <c r="H25" s="13">
        <f>'Cost Inputs'!$C$13+IF(D25&gt;=10,'Cost Inputs'!$C$17,0)+IF(D25&gt;=20,'Cost Inputs'!$C$18,0)+IF(D25&gt;=30,'Cost Inputs'!$C$19,0)+IF(D25&gt;=20,'Cost Inputs'!$C$20,0)+0+0</f>
        <v>2622</v>
      </c>
      <c r="I25" s="13">
        <f>IF(D25&lt;='Cost Inputs'!$C$28,D25*'Cost Inputs'!$C$26,D25*'Cost Inputs'!$C$27)+D25*'Tier Pricing'!$D$22*'Cost Inputs'!$C$40</f>
        <v>2523.4</v>
      </c>
      <c r="J25" s="13">
        <f t="shared" si="1"/>
        <v>5145.3999999999996</v>
      </c>
      <c r="K25" s="15">
        <f t="shared" si="2"/>
        <v>7219.9642857142862</v>
      </c>
      <c r="L25" s="15">
        <f t="shared" si="4"/>
        <v>57341.821428571435</v>
      </c>
    </row>
    <row r="26" spans="2:12" ht="20" customHeight="1">
      <c r="B26" s="13">
        <v>20</v>
      </c>
      <c r="C26" s="11">
        <v>4</v>
      </c>
      <c r="D26" s="13">
        <f t="shared" si="3"/>
        <v>35</v>
      </c>
      <c r="E26" s="13">
        <f>C26*'Cost Inputs'!$C$44</f>
        <v>6000</v>
      </c>
      <c r="F26" s="13">
        <f>D26*'Tier Pricing'!$E$23</f>
        <v>8880.25</v>
      </c>
      <c r="G26" s="10">
        <f t="shared" si="0"/>
        <v>14880.25</v>
      </c>
      <c r="H26" s="13">
        <f>'Cost Inputs'!$C$13+IF(D26&gt;=10,'Cost Inputs'!$C$17,0)+IF(D26&gt;=20,'Cost Inputs'!$C$18,0)+IF(D26&gt;=30,'Cost Inputs'!$C$19,0)+IF(D26&gt;=20,'Cost Inputs'!$C$20,0)+0+0</f>
        <v>2622</v>
      </c>
      <c r="I26" s="13">
        <f>IF(D26&lt;='Cost Inputs'!$C$28,D26*'Cost Inputs'!$C$26,D26*'Cost Inputs'!$C$27)+D26*'Tier Pricing'!$D$22*'Cost Inputs'!$C$40</f>
        <v>2849.0000000000005</v>
      </c>
      <c r="J26" s="13">
        <f t="shared" si="1"/>
        <v>5471</v>
      </c>
      <c r="K26" s="15">
        <f t="shared" si="2"/>
        <v>9409.25</v>
      </c>
      <c r="L26" s="15">
        <f t="shared" si="4"/>
        <v>66751.071428571435</v>
      </c>
    </row>
    <row r="27" spans="2:12" ht="20" customHeight="1">
      <c r="B27" s="13">
        <v>21</v>
      </c>
      <c r="C27" s="11">
        <v>4</v>
      </c>
      <c r="D27" s="13">
        <f t="shared" si="3"/>
        <v>39</v>
      </c>
      <c r="E27" s="13">
        <f>C27*'Cost Inputs'!$C$44</f>
        <v>6000</v>
      </c>
      <c r="F27" s="13">
        <f>D27*'Tier Pricing'!$E$23</f>
        <v>9895.1357142857141</v>
      </c>
      <c r="G27" s="10">
        <f t="shared" si="0"/>
        <v>15895.135714285714</v>
      </c>
      <c r="H27" s="13">
        <f>'Cost Inputs'!$C$13+IF(D27&gt;=10,'Cost Inputs'!$C$17,0)+IF(D27&gt;=20,'Cost Inputs'!$C$18,0)+IF(D27&gt;=30,'Cost Inputs'!$C$19,0)+IF(D27&gt;=20,'Cost Inputs'!$C$20,0)+0+0</f>
        <v>2622</v>
      </c>
      <c r="I27" s="13">
        <f>IF(D27&lt;='Cost Inputs'!$C$28,D27*'Cost Inputs'!$C$26,D27*'Cost Inputs'!$C$27)+D27*'Tier Pricing'!$D$22*'Cost Inputs'!$C$40</f>
        <v>3174.6000000000004</v>
      </c>
      <c r="J27" s="13">
        <f t="shared" si="1"/>
        <v>5796.6</v>
      </c>
      <c r="K27" s="15">
        <f t="shared" si="2"/>
        <v>10098.535714285714</v>
      </c>
      <c r="L27" s="15">
        <f t="shared" si="4"/>
        <v>76849.607142857145</v>
      </c>
    </row>
    <row r="28" spans="2:12" ht="20" customHeight="1">
      <c r="B28" s="13">
        <v>22</v>
      </c>
      <c r="C28" s="11">
        <v>4</v>
      </c>
      <c r="D28" s="13">
        <f t="shared" si="3"/>
        <v>43</v>
      </c>
      <c r="E28" s="13">
        <f>C28*'Cost Inputs'!$C$44</f>
        <v>6000</v>
      </c>
      <c r="F28" s="13">
        <f>D28*'Tier Pricing'!$E$23</f>
        <v>10910.02142857143</v>
      </c>
      <c r="G28" s="10">
        <f t="shared" si="0"/>
        <v>16910.021428571432</v>
      </c>
      <c r="H28" s="13">
        <f>'Cost Inputs'!$C$13+IF(D28&gt;=10,'Cost Inputs'!$C$17,0)+IF(D28&gt;=20,'Cost Inputs'!$C$18,0)+IF(D28&gt;=30,'Cost Inputs'!$C$19,0)+IF(D28&gt;=20,'Cost Inputs'!$C$20,0)+0+0</f>
        <v>2622</v>
      </c>
      <c r="I28" s="13">
        <f>IF(D28&lt;='Cost Inputs'!$C$28,D28*'Cost Inputs'!$C$26,D28*'Cost Inputs'!$C$27)+D28*'Tier Pricing'!$D$22*'Cost Inputs'!$C$40</f>
        <v>3500.2000000000007</v>
      </c>
      <c r="J28" s="13">
        <f t="shared" si="1"/>
        <v>6122.2000000000007</v>
      </c>
      <c r="K28" s="15">
        <f t="shared" si="2"/>
        <v>10787.821428571431</v>
      </c>
      <c r="L28" s="15">
        <f t="shared" si="4"/>
        <v>87637.42857142858</v>
      </c>
    </row>
    <row r="29" spans="2:12" ht="20" customHeight="1">
      <c r="B29" s="13">
        <v>23</v>
      </c>
      <c r="C29" s="11">
        <v>4</v>
      </c>
      <c r="D29" s="13">
        <f t="shared" si="3"/>
        <v>47</v>
      </c>
      <c r="E29" s="13">
        <f>C29*'Cost Inputs'!$C$44</f>
        <v>6000</v>
      </c>
      <c r="F29" s="13">
        <f>D29*'Tier Pricing'!$E$23</f>
        <v>11924.907142857144</v>
      </c>
      <c r="G29" s="10">
        <f t="shared" si="0"/>
        <v>17924.907142857144</v>
      </c>
      <c r="H29" s="13">
        <f>'Cost Inputs'!$C$13+IF(D29&gt;=10,'Cost Inputs'!$C$17,0)+IF(D29&gt;=20,'Cost Inputs'!$C$18,0)+IF(D29&gt;=30,'Cost Inputs'!$C$19,0)+IF(D29&gt;=20,'Cost Inputs'!$C$20,0)+0+0</f>
        <v>2622</v>
      </c>
      <c r="I29" s="13">
        <f>IF(D29&lt;='Cost Inputs'!$C$28,D29*'Cost Inputs'!$C$26,D29*'Cost Inputs'!$C$27)+D29*'Tier Pricing'!$D$22*'Cost Inputs'!$C$40</f>
        <v>3825.8</v>
      </c>
      <c r="J29" s="13">
        <f t="shared" si="1"/>
        <v>6447.8</v>
      </c>
      <c r="K29" s="15">
        <f t="shared" si="2"/>
        <v>11477.107142857145</v>
      </c>
      <c r="L29" s="15">
        <f t="shared" si="4"/>
        <v>99114.535714285725</v>
      </c>
    </row>
    <row r="30" spans="2:12" ht="20" customHeight="1">
      <c r="B30" s="13">
        <v>24</v>
      </c>
      <c r="C30" s="11">
        <v>4</v>
      </c>
      <c r="D30" s="13">
        <f t="shared" si="3"/>
        <v>51</v>
      </c>
      <c r="E30" s="13">
        <f>C30*'Cost Inputs'!$C$44</f>
        <v>6000</v>
      </c>
      <c r="F30" s="13">
        <f>D30*'Tier Pricing'!$E$23</f>
        <v>12939.792857142858</v>
      </c>
      <c r="G30" s="10">
        <f t="shared" si="0"/>
        <v>18939.792857142857</v>
      </c>
      <c r="H30" s="13">
        <f>'Cost Inputs'!$C$13+IF(D30&gt;=10,'Cost Inputs'!$C$17,0)+IF(D30&gt;=20,'Cost Inputs'!$C$18,0)+IF(D30&gt;=30,'Cost Inputs'!$C$19,0)+IF(D30&gt;=20,'Cost Inputs'!$C$20,0)+0+0</f>
        <v>2622</v>
      </c>
      <c r="I30" s="13">
        <f>IF(D30&lt;='Cost Inputs'!$C$28,D30*'Cost Inputs'!$C$26,D30*'Cost Inputs'!$C$27)+D30*'Tier Pricing'!$D$22*'Cost Inputs'!$C$40</f>
        <v>4151.4000000000005</v>
      </c>
      <c r="J30" s="13">
        <f t="shared" si="1"/>
        <v>6773.4000000000005</v>
      </c>
      <c r="K30" s="15">
        <f t="shared" si="2"/>
        <v>12166.392857142855</v>
      </c>
      <c r="L30" s="15">
        <f t="shared" si="4"/>
        <v>111280.92857142858</v>
      </c>
    </row>
    <row r="31" spans="2:12" ht="20" customHeight="1">
      <c r="B31" s="13">
        <v>25</v>
      </c>
      <c r="C31" s="11">
        <v>5</v>
      </c>
      <c r="D31" s="13">
        <f t="shared" si="3"/>
        <v>56</v>
      </c>
      <c r="E31" s="13">
        <f>C31*'Cost Inputs'!$C$44</f>
        <v>7500</v>
      </c>
      <c r="F31" s="13">
        <f>D31*'Tier Pricing'!$E$23</f>
        <v>14208.400000000001</v>
      </c>
      <c r="G31" s="10">
        <f t="shared" si="0"/>
        <v>21708.400000000001</v>
      </c>
      <c r="H31" s="13">
        <f>'Cost Inputs'!$C$13+IF(D31&gt;=10,'Cost Inputs'!$C$17,0)+IF(D31&gt;=20,'Cost Inputs'!$C$18,0)+IF(D31&gt;=30,'Cost Inputs'!$C$19,0)+IF(D31&gt;=20,'Cost Inputs'!$C$20,0)+0+0</f>
        <v>2622</v>
      </c>
      <c r="I31" s="13">
        <f>IF(D31&lt;='Cost Inputs'!$C$28,D31*'Cost Inputs'!$C$26,D31*'Cost Inputs'!$C$27)+D31*'Tier Pricing'!$D$22*'Cost Inputs'!$C$40</f>
        <v>4558.4000000000015</v>
      </c>
      <c r="J31" s="13">
        <f t="shared" si="1"/>
        <v>7180.4000000000015</v>
      </c>
      <c r="K31" s="15">
        <f t="shared" si="2"/>
        <v>14528</v>
      </c>
      <c r="L31" s="15">
        <f t="shared" si="4"/>
        <v>125808.92857142858</v>
      </c>
    </row>
    <row r="32" spans="2:12" ht="20" customHeight="1">
      <c r="B32" s="13">
        <v>26</v>
      </c>
      <c r="C32" s="11">
        <v>5</v>
      </c>
      <c r="D32" s="13">
        <f t="shared" si="3"/>
        <v>61</v>
      </c>
      <c r="E32" s="13">
        <f>C32*'Cost Inputs'!$C$44</f>
        <v>7500</v>
      </c>
      <c r="F32" s="13">
        <f>D32*'Tier Pricing'!$E$23</f>
        <v>15477.007142857145</v>
      </c>
      <c r="G32" s="10">
        <f t="shared" si="0"/>
        <v>22977.007142857146</v>
      </c>
      <c r="H32" s="13">
        <f>'Cost Inputs'!$C$13+IF(D32&gt;=10,'Cost Inputs'!$C$17,0)+IF(D32&gt;=20,'Cost Inputs'!$C$18,0)+IF(D32&gt;=30,'Cost Inputs'!$C$19,0)+IF(D32&gt;=20,'Cost Inputs'!$C$20,0)+0+0</f>
        <v>2622</v>
      </c>
      <c r="I32" s="13">
        <f>IF(D32&lt;='Cost Inputs'!$C$28,D32*'Cost Inputs'!$C$26,D32*'Cost Inputs'!$C$27)+D32*'Tier Pricing'!$D$22*'Cost Inputs'!$C$40</f>
        <v>4965.4000000000015</v>
      </c>
      <c r="J32" s="13">
        <f t="shared" si="1"/>
        <v>7587.4000000000015</v>
      </c>
      <c r="K32" s="15">
        <f t="shared" si="2"/>
        <v>15389.607142857145</v>
      </c>
      <c r="L32" s="15">
        <f t="shared" si="4"/>
        <v>141198.53571428574</v>
      </c>
    </row>
    <row r="33" spans="2:12" ht="20" customHeight="1">
      <c r="B33" s="13">
        <v>27</v>
      </c>
      <c r="C33" s="11">
        <v>5</v>
      </c>
      <c r="D33" s="13">
        <f t="shared" si="3"/>
        <v>66</v>
      </c>
      <c r="E33" s="13">
        <f>C33*'Cost Inputs'!$C$44</f>
        <v>7500</v>
      </c>
      <c r="F33" s="13">
        <f>D33*'Tier Pricing'!$E$23</f>
        <v>16745.614285714288</v>
      </c>
      <c r="G33" s="10">
        <f t="shared" si="0"/>
        <v>24245.614285714288</v>
      </c>
      <c r="H33" s="13">
        <f>'Cost Inputs'!$C$13+IF(D33&gt;=10,'Cost Inputs'!$C$17,0)+IF(D33&gt;=20,'Cost Inputs'!$C$18,0)+IF(D33&gt;=30,'Cost Inputs'!$C$19,0)+IF(D33&gt;=20,'Cost Inputs'!$C$20,0)+0+0</f>
        <v>2622</v>
      </c>
      <c r="I33" s="13">
        <f>IF(D33&lt;='Cost Inputs'!$C$28,D33*'Cost Inputs'!$C$26,D33*'Cost Inputs'!$C$27)+D33*'Tier Pricing'!$D$22*'Cost Inputs'!$C$40</f>
        <v>5372.4000000000015</v>
      </c>
      <c r="J33" s="13">
        <f t="shared" si="1"/>
        <v>7994.4000000000015</v>
      </c>
      <c r="K33" s="15">
        <f t="shared" si="2"/>
        <v>16251.214285714286</v>
      </c>
      <c r="L33" s="15">
        <f t="shared" si="4"/>
        <v>157449.75000000003</v>
      </c>
    </row>
    <row r="34" spans="2:12" ht="20" customHeight="1">
      <c r="B34" s="13">
        <v>28</v>
      </c>
      <c r="C34" s="11">
        <v>5</v>
      </c>
      <c r="D34" s="13">
        <f t="shared" si="3"/>
        <v>71</v>
      </c>
      <c r="E34" s="13">
        <f>C34*'Cost Inputs'!$C$44</f>
        <v>7500</v>
      </c>
      <c r="F34" s="13">
        <f>D34*'Tier Pricing'!$E$23</f>
        <v>18014.221428571429</v>
      </c>
      <c r="G34" s="10">
        <f t="shared" si="0"/>
        <v>25514.221428571429</v>
      </c>
      <c r="H34" s="13">
        <f>'Cost Inputs'!$C$13+IF(D34&gt;=10,'Cost Inputs'!$C$17,0)+IF(D34&gt;=20,'Cost Inputs'!$C$18,0)+IF(D34&gt;=30,'Cost Inputs'!$C$19,0)+IF(D34&gt;=20,'Cost Inputs'!$C$20,0)+0+0</f>
        <v>2622</v>
      </c>
      <c r="I34" s="13">
        <f>IF(D34&lt;='Cost Inputs'!$C$28,D34*'Cost Inputs'!$C$26,D34*'Cost Inputs'!$C$27)+D34*'Tier Pricing'!$D$22*'Cost Inputs'!$C$40</f>
        <v>5779.4000000000015</v>
      </c>
      <c r="J34" s="13">
        <f t="shared" si="1"/>
        <v>8401.4000000000015</v>
      </c>
      <c r="K34" s="15">
        <f t="shared" si="2"/>
        <v>17112.821428571428</v>
      </c>
      <c r="L34" s="15">
        <f t="shared" si="4"/>
        <v>174562.57142857145</v>
      </c>
    </row>
    <row r="35" spans="2:12" ht="20" customHeight="1">
      <c r="B35" s="13">
        <v>29</v>
      </c>
      <c r="C35" s="11">
        <v>5</v>
      </c>
      <c r="D35" s="13">
        <f t="shared" si="3"/>
        <v>76</v>
      </c>
      <c r="E35" s="13">
        <f>C35*'Cost Inputs'!$C$44</f>
        <v>7500</v>
      </c>
      <c r="F35" s="13">
        <f>D35*'Tier Pricing'!$E$23</f>
        <v>19282.828571428574</v>
      </c>
      <c r="G35" s="10">
        <f t="shared" si="0"/>
        <v>26782.828571428574</v>
      </c>
      <c r="H35" s="13">
        <f>'Cost Inputs'!$C$13+IF(D35&gt;=10,'Cost Inputs'!$C$17,0)+IF(D35&gt;=20,'Cost Inputs'!$C$18,0)+IF(D35&gt;=30,'Cost Inputs'!$C$19,0)+IF(D35&gt;=20,'Cost Inputs'!$C$20,0)+0+0</f>
        <v>2622</v>
      </c>
      <c r="I35" s="13">
        <f>IF(D35&lt;='Cost Inputs'!$C$28,D35*'Cost Inputs'!$C$26,D35*'Cost Inputs'!$C$27)+D35*'Tier Pricing'!$D$22*'Cost Inputs'!$C$40</f>
        <v>6186.4000000000015</v>
      </c>
      <c r="J35" s="13">
        <f t="shared" si="1"/>
        <v>8808.4000000000015</v>
      </c>
      <c r="K35" s="15">
        <f t="shared" si="2"/>
        <v>17974.428571428572</v>
      </c>
      <c r="L35" s="15">
        <f t="shared" si="4"/>
        <v>192537.00000000003</v>
      </c>
    </row>
    <row r="36" spans="2:12" ht="20" customHeight="1">
      <c r="B36" s="13">
        <v>30</v>
      </c>
      <c r="C36" s="11">
        <v>5</v>
      </c>
      <c r="D36" s="13">
        <f t="shared" si="3"/>
        <v>81</v>
      </c>
      <c r="E36" s="13">
        <f>C36*'Cost Inputs'!$C$44</f>
        <v>7500</v>
      </c>
      <c r="F36" s="13">
        <f>D36*'Tier Pricing'!$E$23</f>
        <v>20551.435714285715</v>
      </c>
      <c r="G36" s="10">
        <f t="shared" si="0"/>
        <v>28051.435714285715</v>
      </c>
      <c r="H36" s="13">
        <f>'Cost Inputs'!$C$13+IF(D36&gt;=10,'Cost Inputs'!$C$17,0)+IF(D36&gt;=20,'Cost Inputs'!$C$18,0)+IF(D36&gt;=30,'Cost Inputs'!$C$19,0)+IF(D36&gt;=20,'Cost Inputs'!$C$20,0)+0+0</f>
        <v>2622</v>
      </c>
      <c r="I36" s="13">
        <f>IF(D36&lt;='Cost Inputs'!$C$28,D36*'Cost Inputs'!$C$26,D36*'Cost Inputs'!$C$27)+D36*'Tier Pricing'!$D$22*'Cost Inputs'!$C$40</f>
        <v>6593.4000000000015</v>
      </c>
      <c r="J36" s="13">
        <f t="shared" si="1"/>
        <v>9215.4000000000015</v>
      </c>
      <c r="K36" s="15">
        <f t="shared" si="2"/>
        <v>18836.035714285714</v>
      </c>
      <c r="L36" s="15">
        <f t="shared" si="4"/>
        <v>211373.03571428574</v>
      </c>
    </row>
    <row r="37" spans="2:12" ht="20" customHeight="1">
      <c r="B37" s="13">
        <v>31</v>
      </c>
      <c r="C37" s="11">
        <v>6</v>
      </c>
      <c r="D37" s="13">
        <f t="shared" si="3"/>
        <v>87</v>
      </c>
      <c r="E37" s="13">
        <f>C37*'Cost Inputs'!$C$44</f>
        <v>9000</v>
      </c>
      <c r="F37" s="13">
        <f>D37*'Tier Pricing'!$E$23</f>
        <v>22073.764285714286</v>
      </c>
      <c r="G37" s="10">
        <f t="shared" si="0"/>
        <v>31073.764285714286</v>
      </c>
      <c r="H37" s="13">
        <f>'Cost Inputs'!$C$13+IF(D37&gt;=10,'Cost Inputs'!$C$17,0)+IF(D37&gt;=20,'Cost Inputs'!$C$18,0)+IF(D37&gt;=30,'Cost Inputs'!$C$19,0)+IF(D37&gt;=20,'Cost Inputs'!$C$20,0)+0+0</f>
        <v>2622</v>
      </c>
      <c r="I37" s="13">
        <f>IF(D37&lt;='Cost Inputs'!$C$28,D37*'Cost Inputs'!$C$26,D37*'Cost Inputs'!$C$27)+D37*'Tier Pricing'!$D$22*'Cost Inputs'!$C$40</f>
        <v>7081.8000000000011</v>
      </c>
      <c r="J37" s="13">
        <f t="shared" si="1"/>
        <v>9703.8000000000011</v>
      </c>
      <c r="K37" s="15">
        <f t="shared" si="2"/>
        <v>21369.964285714283</v>
      </c>
      <c r="L37" s="15">
        <f t="shared" si="4"/>
        <v>232743.00000000003</v>
      </c>
    </row>
    <row r="38" spans="2:12" ht="20" customHeight="1">
      <c r="B38" s="13">
        <v>32</v>
      </c>
      <c r="C38" s="11">
        <v>6</v>
      </c>
      <c r="D38" s="13">
        <f t="shared" si="3"/>
        <v>93</v>
      </c>
      <c r="E38" s="13">
        <f>C38*'Cost Inputs'!$C$44</f>
        <v>9000</v>
      </c>
      <c r="F38" s="13">
        <f>D38*'Tier Pricing'!$E$23</f>
        <v>23596.092857142859</v>
      </c>
      <c r="G38" s="10">
        <f t="shared" si="0"/>
        <v>32596.092857142859</v>
      </c>
      <c r="H38" s="13">
        <f>'Cost Inputs'!$C$13+IF(D38&gt;=10,'Cost Inputs'!$C$17,0)+IF(D38&gt;=20,'Cost Inputs'!$C$18,0)+IF(D38&gt;=30,'Cost Inputs'!$C$19,0)+IF(D38&gt;=20,'Cost Inputs'!$C$20,0)+0+0</f>
        <v>2622</v>
      </c>
      <c r="I38" s="13">
        <f>IF(D38&lt;='Cost Inputs'!$C$28,D38*'Cost Inputs'!$C$26,D38*'Cost Inputs'!$C$27)+D38*'Tier Pricing'!$D$22*'Cost Inputs'!$C$40</f>
        <v>7570.2000000000016</v>
      </c>
      <c r="J38" s="13">
        <f t="shared" si="1"/>
        <v>10192.200000000001</v>
      </c>
      <c r="K38" s="15">
        <f t="shared" si="2"/>
        <v>22403.892857142859</v>
      </c>
      <c r="L38" s="15">
        <f t="shared" si="4"/>
        <v>255146.8928571429</v>
      </c>
    </row>
    <row r="39" spans="2:12" ht="20" customHeight="1">
      <c r="B39" s="13">
        <v>33</v>
      </c>
      <c r="C39" s="11">
        <v>6</v>
      </c>
      <c r="D39" s="13">
        <f t="shared" si="3"/>
        <v>99</v>
      </c>
      <c r="E39" s="13">
        <f>C39*'Cost Inputs'!$C$44</f>
        <v>9000</v>
      </c>
      <c r="F39" s="13">
        <f>D39*'Tier Pricing'!$E$23</f>
        <v>25118.42142857143</v>
      </c>
      <c r="G39" s="10">
        <f t="shared" si="0"/>
        <v>34118.421428571426</v>
      </c>
      <c r="H39" s="13">
        <f>'Cost Inputs'!$C$13+IF(D39&gt;=10,'Cost Inputs'!$C$17,0)+IF(D39&gt;=20,'Cost Inputs'!$C$18,0)+IF(D39&gt;=30,'Cost Inputs'!$C$19,0)+IF(D39&gt;=20,'Cost Inputs'!$C$20,0)+0+0</f>
        <v>2622</v>
      </c>
      <c r="I39" s="13">
        <f>IF(D39&lt;='Cost Inputs'!$C$28,D39*'Cost Inputs'!$C$26,D39*'Cost Inputs'!$C$27)+D39*'Tier Pricing'!$D$22*'Cost Inputs'!$C$40</f>
        <v>8058.6</v>
      </c>
      <c r="J39" s="13">
        <f t="shared" si="1"/>
        <v>10680.6</v>
      </c>
      <c r="K39" s="15">
        <f t="shared" si="2"/>
        <v>23437.821428571428</v>
      </c>
      <c r="L39" s="15">
        <f t="shared" si="4"/>
        <v>278584.71428571432</v>
      </c>
    </row>
    <row r="40" spans="2:12" ht="20" customHeight="1">
      <c r="B40" s="13">
        <v>34</v>
      </c>
      <c r="C40" s="11">
        <v>6</v>
      </c>
      <c r="D40" s="13">
        <f t="shared" si="3"/>
        <v>105</v>
      </c>
      <c r="E40" s="13">
        <f>C40*'Cost Inputs'!$C$44</f>
        <v>9000</v>
      </c>
      <c r="F40" s="13">
        <f>D40*'Tier Pricing'!$E$23</f>
        <v>26640.750000000004</v>
      </c>
      <c r="G40" s="10">
        <f t="shared" si="0"/>
        <v>35640.75</v>
      </c>
      <c r="H40" s="13">
        <f>'Cost Inputs'!$C$13+IF(D40&gt;=10,'Cost Inputs'!$C$17,0)+IF(D40&gt;=20,'Cost Inputs'!$C$18,0)+IF(D40&gt;=30,'Cost Inputs'!$C$19,0)+IF(D40&gt;=20,'Cost Inputs'!$C$20,0)+0+0</f>
        <v>2622</v>
      </c>
      <c r="I40" s="13">
        <f>IF(D40&lt;='Cost Inputs'!$C$28,D40*'Cost Inputs'!$C$26,D40*'Cost Inputs'!$C$27)+D40*'Tier Pricing'!$D$22*'Cost Inputs'!$C$40</f>
        <v>8547</v>
      </c>
      <c r="J40" s="13">
        <f t="shared" si="1"/>
        <v>11169</v>
      </c>
      <c r="K40" s="15">
        <f t="shared" si="2"/>
        <v>24471.75</v>
      </c>
      <c r="L40" s="15">
        <f t="shared" si="4"/>
        <v>303056.46428571432</v>
      </c>
    </row>
    <row r="41" spans="2:12" ht="20" customHeight="1">
      <c r="B41" s="13">
        <v>35</v>
      </c>
      <c r="C41" s="11">
        <v>6</v>
      </c>
      <c r="D41" s="13">
        <f t="shared" si="3"/>
        <v>111</v>
      </c>
      <c r="E41" s="13">
        <f>C41*'Cost Inputs'!$C$44</f>
        <v>9000</v>
      </c>
      <c r="F41" s="13">
        <f>D41*'Tier Pricing'!$E$23</f>
        <v>28163.078571428574</v>
      </c>
      <c r="G41" s="10">
        <f t="shared" si="0"/>
        <v>37163.078571428574</v>
      </c>
      <c r="H41" s="13">
        <f>'Cost Inputs'!$C$13+IF(D41&gt;=10,'Cost Inputs'!$C$17,0)+IF(D41&gt;=20,'Cost Inputs'!$C$18,0)+IF(D41&gt;=30,'Cost Inputs'!$C$19,0)+IF(D41&gt;=20,'Cost Inputs'!$C$20,0)+0+0</f>
        <v>2622</v>
      </c>
      <c r="I41" s="13">
        <f>IF(D41&lt;='Cost Inputs'!$C$28,D41*'Cost Inputs'!$C$26,D41*'Cost Inputs'!$C$27)+D41*'Tier Pricing'!$D$22*'Cost Inputs'!$C$40</f>
        <v>9035.4000000000015</v>
      </c>
      <c r="J41" s="13">
        <f t="shared" si="1"/>
        <v>11657.400000000001</v>
      </c>
      <c r="K41" s="15">
        <f t="shared" si="2"/>
        <v>25505.678571428572</v>
      </c>
      <c r="L41" s="15">
        <f t="shared" si="4"/>
        <v>328562.1428571429</v>
      </c>
    </row>
    <row r="42" spans="2:12" ht="20" customHeight="1">
      <c r="B42" s="13">
        <v>36</v>
      </c>
      <c r="C42" s="11">
        <v>6</v>
      </c>
      <c r="D42" s="13">
        <f t="shared" si="3"/>
        <v>117</v>
      </c>
      <c r="E42" s="13">
        <f>C42*'Cost Inputs'!$C$44</f>
        <v>9000</v>
      </c>
      <c r="F42" s="13">
        <f>D42*'Tier Pricing'!$E$23</f>
        <v>29685.407142857144</v>
      </c>
      <c r="G42" s="10">
        <f t="shared" si="0"/>
        <v>38685.407142857148</v>
      </c>
      <c r="H42" s="13">
        <f>'Cost Inputs'!$C$13+IF(D42&gt;=10,'Cost Inputs'!$C$17,0)+IF(D42&gt;=20,'Cost Inputs'!$C$18,0)+IF(D42&gt;=30,'Cost Inputs'!$C$19,0)+IF(D42&gt;=20,'Cost Inputs'!$C$20,0)+0+0</f>
        <v>2622</v>
      </c>
      <c r="I42" s="13">
        <f>IF(D42&lt;='Cost Inputs'!$C$28,D42*'Cost Inputs'!$C$26,D42*'Cost Inputs'!$C$27)+D42*'Tier Pricing'!$D$22*'Cost Inputs'!$C$40</f>
        <v>9523.8000000000029</v>
      </c>
      <c r="J42" s="13">
        <f t="shared" si="1"/>
        <v>12145.800000000003</v>
      </c>
      <c r="K42" s="15">
        <f t="shared" si="2"/>
        <v>26539.607142857145</v>
      </c>
      <c r="L42" s="15">
        <f t="shared" si="4"/>
        <v>355101.75000000006</v>
      </c>
    </row>
    <row r="43" spans="2:12" ht="28" customHeight="1">
      <c r="B43" s="4" t="s">
        <v>294</v>
      </c>
      <c r="C43" s="10">
        <f>SUM(C7:C42)</f>
        <v>117</v>
      </c>
      <c r="D43" s="13"/>
      <c r="E43" s="10">
        <f t="shared" ref="E43:K43" si="5">SUM(E7:E42)</f>
        <v>175500</v>
      </c>
      <c r="F43" s="10">
        <f t="shared" si="5"/>
        <v>367642.35000000003</v>
      </c>
      <c r="G43" s="10">
        <f t="shared" si="5"/>
        <v>543142.35000000009</v>
      </c>
      <c r="H43" s="10">
        <f t="shared" si="5"/>
        <v>68442</v>
      </c>
      <c r="I43" s="10">
        <f t="shared" si="5"/>
        <v>119598.60000000002</v>
      </c>
      <c r="J43" s="10">
        <f t="shared" si="5"/>
        <v>188040.59999999998</v>
      </c>
      <c r="K43" s="10">
        <f t="shared" si="5"/>
        <v>355101.75000000006</v>
      </c>
      <c r="L43" s="10">
        <f>L42</f>
        <v>355101.75000000006</v>
      </c>
    </row>
  </sheetData>
  <mergeCells count="2">
    <mergeCell ref="B2:L2"/>
    <mergeCell ref="B3:L3"/>
  </mergeCells>
  <conditionalFormatting sqref="K7:L42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D9488"/>
  </sheetPr>
  <dimension ref="B2:F21"/>
  <sheetViews>
    <sheetView showGridLines="0" workbookViewId="0"/>
  </sheetViews>
  <sheetFormatPr baseColWidth="10" defaultColWidth="8.83203125" defaultRowHeight="15"/>
  <cols>
    <col min="1" max="1" width="4.6640625" customWidth="1"/>
    <col min="2" max="2" width="22.6640625" customWidth="1"/>
    <col min="3" max="5" width="16.6640625" customWidth="1"/>
    <col min="6" max="6" width="50.6640625" customWidth="1"/>
  </cols>
  <sheetData>
    <row r="2" spans="2:6" ht="32" customHeight="1">
      <c r="B2" s="18" t="s">
        <v>295</v>
      </c>
      <c r="C2" s="18"/>
      <c r="D2" s="18"/>
      <c r="E2" s="18"/>
      <c r="F2" s="18"/>
    </row>
    <row r="3" spans="2:6" ht="36" customHeight="1">
      <c r="B3" s="19" t="s">
        <v>296</v>
      </c>
      <c r="C3" s="19"/>
      <c r="D3" s="19"/>
      <c r="E3" s="19"/>
      <c r="F3" s="19"/>
    </row>
    <row r="5" spans="2:6" ht="24" customHeight="1">
      <c r="B5" s="16" t="s">
        <v>297</v>
      </c>
      <c r="C5" s="16"/>
      <c r="D5" s="16"/>
      <c r="E5" s="16"/>
      <c r="F5" s="16"/>
    </row>
    <row r="6" spans="2:6" ht="22" customHeight="1">
      <c r="B6" s="5" t="s">
        <v>298</v>
      </c>
      <c r="C6" s="5" t="s">
        <v>299</v>
      </c>
      <c r="D6" s="5" t="s">
        <v>300</v>
      </c>
      <c r="F6" s="5" t="s">
        <v>182</v>
      </c>
    </row>
    <row r="7" spans="2:6" ht="24" customHeight="1">
      <c r="B7" s="4" t="s">
        <v>301</v>
      </c>
      <c r="C7" s="12">
        <v>0.5</v>
      </c>
      <c r="D7" s="7" t="s">
        <v>302</v>
      </c>
      <c r="F7" s="3" t="s">
        <v>303</v>
      </c>
    </row>
    <row r="8" spans="2:6" ht="24" customHeight="1">
      <c r="B8" s="4" t="s">
        <v>304</v>
      </c>
      <c r="C8" s="12">
        <v>0.5</v>
      </c>
      <c r="D8" s="7" t="s">
        <v>305</v>
      </c>
      <c r="F8" s="3" t="s">
        <v>303</v>
      </c>
    </row>
    <row r="9" spans="2:6" ht="22" customHeight="1">
      <c r="B9" s="4" t="s">
        <v>306</v>
      </c>
      <c r="C9" s="10">
        <f>SUM(C7:C8)</f>
        <v>1</v>
      </c>
      <c r="F9" s="14" t="s">
        <v>307</v>
      </c>
    </row>
    <row r="11" spans="2:6" ht="24" customHeight="1">
      <c r="B11" s="16" t="s">
        <v>308</v>
      </c>
      <c r="C11" s="16"/>
      <c r="D11" s="16"/>
      <c r="E11" s="16"/>
      <c r="F11" s="16"/>
    </row>
    <row r="12" spans="2:6" ht="22" customHeight="1">
      <c r="B12" s="5" t="s">
        <v>309</v>
      </c>
      <c r="C12" s="5" t="s">
        <v>292</v>
      </c>
      <c r="D12" s="5" t="s">
        <v>301</v>
      </c>
      <c r="E12" s="5" t="s">
        <v>304</v>
      </c>
      <c r="F12" s="5" t="s">
        <v>182</v>
      </c>
    </row>
    <row r="13" spans="2:6" ht="26" customHeight="1">
      <c r="B13" s="4" t="s">
        <v>310</v>
      </c>
      <c r="C13" s="10">
        <f>SUM(Projection!K7:K18)</f>
        <v>14936.000000000002</v>
      </c>
      <c r="D13" s="10">
        <f>C13*'Profit Split'!$C$7</f>
        <v>7468.0000000000009</v>
      </c>
      <c r="E13" s="10">
        <f>C13*'Profit Split'!$C$8</f>
        <v>7468.0000000000009</v>
      </c>
      <c r="F13" s="3" t="s">
        <v>311</v>
      </c>
    </row>
    <row r="14" spans="2:6" ht="26" customHeight="1">
      <c r="B14" s="4" t="s">
        <v>312</v>
      </c>
      <c r="C14" s="10">
        <f>SUM(Projection!K19:K30)</f>
        <v>96344.92857142858</v>
      </c>
      <c r="D14" s="10">
        <f>C14*'Profit Split'!$C$7</f>
        <v>48172.46428571429</v>
      </c>
      <c r="E14" s="10">
        <f>C14*'Profit Split'!$C$8</f>
        <v>48172.46428571429</v>
      </c>
      <c r="F14" s="3"/>
    </row>
    <row r="15" spans="2:6" ht="26" customHeight="1">
      <c r="B15" s="4" t="s">
        <v>313</v>
      </c>
      <c r="C15" s="10">
        <f>SUM(Projection!K31:K42)</f>
        <v>243820.82142857142</v>
      </c>
      <c r="D15" s="10">
        <f>C15*'Profit Split'!$C$7</f>
        <v>121910.41071428571</v>
      </c>
      <c r="E15" s="10">
        <f>C15*'Profit Split'!$C$8</f>
        <v>121910.41071428571</v>
      </c>
      <c r="F15" s="3"/>
    </row>
    <row r="16" spans="2:6" ht="26" customHeight="1">
      <c r="B16" s="4" t="s">
        <v>314</v>
      </c>
      <c r="C16" s="10">
        <f>SUM(Projection!K7:K42)</f>
        <v>355101.75000000006</v>
      </c>
      <c r="D16" s="10">
        <f>C16*'Profit Split'!$C$7</f>
        <v>177550.87500000003</v>
      </c>
      <c r="E16" s="10">
        <f>C16*'Profit Split'!$C$8</f>
        <v>177550.87500000003</v>
      </c>
      <c r="F16" s="3" t="s">
        <v>315</v>
      </c>
    </row>
    <row r="18" spans="2:6" ht="24" customHeight="1">
      <c r="B18" s="16" t="s">
        <v>316</v>
      </c>
      <c r="C18" s="16"/>
      <c r="D18" s="16"/>
      <c r="E18" s="16"/>
      <c r="F18" s="16"/>
    </row>
    <row r="19" spans="2:6" ht="24" customHeight="1">
      <c r="B19" s="4" t="s">
        <v>317</v>
      </c>
      <c r="C19" s="9">
        <v>8000</v>
      </c>
      <c r="F19" s="3" t="s">
        <v>318</v>
      </c>
    </row>
    <row r="20" spans="2:6" ht="28" customHeight="1">
      <c r="B20" s="4" t="s">
        <v>319</v>
      </c>
      <c r="C20" s="10">
        <f>MIN(Projection!L8:L43)</f>
        <v>-1019.0357142857147</v>
      </c>
      <c r="F20" s="3" t="s">
        <v>320</v>
      </c>
    </row>
    <row r="21" spans="2:6" ht="26" customHeight="1">
      <c r="B21" s="4" t="s">
        <v>321</v>
      </c>
      <c r="C21" s="10" t="str">
        <f>IF(B20&lt;-2*'Profit Split'!$C$19,"OVER BUDGET","OK")</f>
        <v>OK</v>
      </c>
    </row>
  </sheetData>
  <mergeCells count="5">
    <mergeCell ref="B2:F2"/>
    <mergeCell ref="B3:F3"/>
    <mergeCell ref="B5:F5"/>
    <mergeCell ref="B11:F11"/>
    <mergeCell ref="B18:F18"/>
  </mergeCells>
  <conditionalFormatting sqref="C13:E1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Checklist</vt:lpstr>
      <vt:lpstr>Cost Inputs</vt:lpstr>
      <vt:lpstr>Tier Pricing</vt:lpstr>
      <vt:lpstr>Projection</vt:lpstr>
      <vt:lpstr>Profit Split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Eloise Lee</cp:lastModifiedBy>
  <dcterms:created xsi:type="dcterms:W3CDTF">2026-05-19T15:21:28Z</dcterms:created>
  <dcterms:modified xsi:type="dcterms:W3CDTF">2026-06-06T05:05:00Z</dcterms:modified>
</cp:coreProperties>
</file>